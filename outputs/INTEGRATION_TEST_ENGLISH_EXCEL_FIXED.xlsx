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png" ContentType="image/png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worksheets/sheet24.xml" ContentType="application/vnd.openxmlformats-officedocument.spreadsheetml.worksheet+xml"/>
  <ns0:Override PartName="/xl/worksheets/sheet25.xml" ContentType="application/vnd.openxmlformats-officedocument.spreadsheetml.worksheet+xml"/>
  <ns0:Override PartName="/xl/worksheets/sheet26.xml" ContentType="application/vnd.openxmlformats-officedocument.spreadsheetml.worksheet+xml"/>
  <ns0:Override PartName="/xl/worksheets/sheet27.xml" ContentType="application/vnd.openxmlformats-officedocument.spreadsheetml.worksheet+xml"/>
  <ns0:Override PartName="/xl/worksheets/sheet28.xml" ContentType="application/vnd.openxmlformats-officedocument.spreadsheetml.worksheet+xml"/>
  <ns0:Override PartName="/xl/worksheets/sheet29.xml" ContentType="application/vnd.openxmlformats-officedocument.spreadsheetml.worksheet+xml"/>
  <ns0:Override PartName="/xl/worksheets/sheet30.xml" ContentType="application/vnd.openxmlformats-officedocument.spreadsheetml.worksheet+xml"/>
  <ns0:Override PartName="/xl/worksheets/sheet31.xml" ContentType="application/vnd.openxmlformats-officedocument.spreadsheetml.worksheet+xml"/>
  <ns0:Override PartName="/xl/worksheets/sheet32.xml" ContentType="application/vnd.openxmlformats-officedocument.spreadsheetml.worksheet+xml"/>
  <ns0:Override PartName="/xl/worksheets/sheet33.xml" ContentType="application/vnd.openxmlformats-officedocument.spreadsheetml.worksheet+xml"/>
  <ns0:Override PartName="/xl/worksheets/sheet34.xml" ContentType="application/vnd.openxmlformats-officedocument.spreadsheetml.worksheet+xml"/>
  <ns0:Override PartName="/xl/worksheets/sheet35.xml" ContentType="application/vnd.openxmlformats-officedocument.spreadsheetml.worksheet+xml"/>
  <ns0:Override PartName="/xl/worksheets/sheet36.xml" ContentType="application/vnd.openxmlformats-officedocument.spreadsheetml.worksheet+xml"/>
  <ns0:Override PartName="/xl/worksheets/sheet37.xml" ContentType="application/vnd.openxmlformats-officedocument.spreadsheetml.worksheet+xml"/>
  <ns0:Override PartName="/xl/worksheets/sheet38.xml" ContentType="application/vnd.openxmlformats-officedocument.spreadsheetml.worksheet+xml"/>
  <ns0:Override PartName="/xl/worksheets/sheet39.xml" ContentType="application/vnd.openxmlformats-officedocument.spreadsheetml.worksheet+xml"/>
  <ns0:Override PartName="/xl/worksheets/sheet40.xml" ContentType="application/vnd.openxmlformats-officedocument.spreadsheetml.worksheet+xml"/>
  <ns0:Override PartName="/xl/worksheets/sheet41.xml" ContentType="application/vnd.openxmlformats-officedocument.spreadsheetml.worksheet+xml"/>
  <ns0:Override PartName="/xl/worksheets/sheet42.xml" ContentType="application/vnd.openxmlformats-officedocument.spreadsheetml.worksheet+xml"/>
  <ns0:Override PartName="/xl/worksheets/sheet43.xml" ContentType="application/vnd.openxmlformats-officedocument.spreadsheetml.worksheet+xml"/>
  <ns0:Override PartName="/xl/worksheets/sheet44.xml" ContentType="application/vnd.openxmlformats-officedocument.spreadsheetml.worksheet+xml"/>
  <ns0:Override PartName="/xl/worksheets/sheet45.xml" ContentType="application/vnd.openxmlformats-officedocument.spreadsheetml.worksheet+xml"/>
  <ns0:Override PartName="/xl/worksheets/sheet46.xml" ContentType="application/vnd.openxmlformats-officedocument.spreadsheetml.worksheet+xml"/>
  <ns0:Override PartName="/xl/worksheets/sheet47.xml" ContentType="application/vnd.openxmlformats-officedocument.spreadsheetml.worksheet+xml"/>
  <ns0:Override PartName="/xl/worksheets/sheet48.xml" ContentType="application/vnd.openxmlformats-officedocument.spreadsheetml.worksheet+xml"/>
  <ns0:Override PartName="/xl/worksheets/sheet49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454b2e954ea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Cover" sheetId="9" ns1:id="R5645e9a57a28468f"/>
    <ns0:sheet name="Test Cases" sheetId="2" ns1:id="R46c61b60bf674e58"/>
    <ns0:sheet name="Test Statistics" sheetId="5" ns1:id="Rdfecb95dce3c4a3f"/>
    <ns0:sheet name="IT01-Register" sheetId="3" ns1:id="R4b5a8789f6034779"/>
    <ns0:sheet name="CA-IT01-Register" sheetId="10" ns1:id="R832505925b2642b2"/>
    <ns0:sheet name="TD-IT01-Register" sheetId="11" ns1:id="R859dabfc2fa84efe"/>
    <ns0:sheet name="IT04-Appointment" sheetId="8" ns1:id="R84693a38d1a649b5"/>
    <ns0:sheet name="MessageList" sheetId="12" ns1:id="Race8a38d467a463d"/>
    <ns0:sheet name="CA-IT04-Appointment" sheetId="9" ns1:id="Re4057bfdd9fa408a"/>
    <ns0:sheet name="TD-IT04-Appointment" sheetId="10" ns1:id="R91af04a611064dbf"/>
    <ns0:sheet name="CA-IT09-LabResult" sheetId="11" ns1:id="Rfb765ad84a534c73"/>
    <ns0:sheet name="TD-IT09-LabResult" sheetId="12" ns1:id="R93d2def92b044752"/>
    <ns0:sheet name="IT09-LabResult" sheetId="13" ns1:id="R9f1bdd437c774640"/>
    <ns0:sheet name="CA-IT02-LoginToken" sheetId="14" ns1:id="R5c75ae9151b24b12"/>
    <ns0:sheet name="TD-IT02-LoginToken" sheetId="15" ns1:id="Rd4e05c1bdf01469b"/>
    <ns0:sheet name="IT02-LoginToken" sheetId="16" ns1:id="Reaad2911d0a245da"/>
    <ns0:sheet name="CA-IT03-Profile" sheetId="17" ns1:id="R0153171b0c6741c7"/>
    <ns0:sheet name="TD-IT03-Profile" sheetId="18" ns1:id="Rcdb089100904465c"/>
    <ns0:sheet name="IT03-Profile" sheetId="19" ns1:id="R0024aaef906141f7"/>
    <ns0:sheet name="CA-IT05-PaymentQueue" sheetId="20" ns1:id="R04ad1891b1c44163"/>
    <ns0:sheet name="TD-IT05-PaymentQueue" sheetId="21" ns1:id="R8a3c1b222dd747fb"/>
    <ns0:sheet name="IT05-PaymentQueue" sheetId="22" ns1:id="Rb420434657c44e33"/>
    <ns0:sheet name="CA-IT06-QueueExam" sheetId="23" ns1:id="Ree3e6be810fe4886"/>
    <ns0:sheet name="TD-IT06-QueueExam" sheetId="24" ns1:id="R6fbe0010be704508"/>
    <ns0:sheet name="IT06-QueueExam" sheetId="25" ns1:id="Rb9322a55421b49bd"/>
    <ns0:sheet name="CA-IT07-Examination" sheetId="26" ns1:id="Rff0752d374344dd5"/>
    <ns0:sheet name="TD-IT07-Examination" sheetId="27" ns1:id="R55e07774cf61496a"/>
    <ns0:sheet name="IT07-Examination" sheetId="28" ns1:id="R25f1c73c6ccb4398"/>
    <ns0:sheet name="CA-IT08-TestOrder" sheetId="29" ns1:id="Rc0850cdef70e487e"/>
    <ns0:sheet name="TD-IT08-TestOrder" sheetId="30" ns1:id="R7ba9682d673746a8"/>
    <ns0:sheet name="IT08-TestOrder" sheetId="31" ns1:id="R1415cff74dc440c0"/>
    <ns0:sheet name="CA-IT10-CompleteFollowup" sheetId="32" ns1:id="R4056e72e26b84540"/>
    <ns0:sheet name="TD-IT10-CompleteFollowup" sheetId="33" ns1:id="R2acf951fd8ac4f5d"/>
    <ns0:sheet name="IT10-CompleteFollowup" sheetId="34" ns1:id="R937b7183354f4157"/>
    <ns0:sheet name="CA-IT11-InsuranceTxn" sheetId="35" ns1:id="R5a3c496488ff41cb"/>
    <ns0:sheet name="TD-IT11-InsuranceTxn" sheetId="36" ns1:id="Rc38dc2ef3720463e"/>
    <ns0:sheet name="IT11-InsuranceTxn" sheetId="37" ns1:id="R1fe8a6d6436245af"/>
    <ns0:sheet name="CA-IT12-StaffSchedule" sheetId="38" ns1:id="R519e6ed2f6be4be8"/>
    <ns0:sheet name="TD-IT12-StaffSchedule" sheetId="39" ns1:id="R6f6ca35e2cc34e7a"/>
    <ns0:sheet name="IT12-StaffSchedule" sheetId="40" ns1:id="R116caf1e9d73472b"/>
    <ns0:sheet name="CA-IT13-AdminCatalog" sheetId="41" ns1:id="Rc9d2457689864cb1"/>
    <ns0:sheet name="TD-IT13-AdminCatalog" sheetId="42" ns1:id="Rd906f1e55cbf4a19"/>
    <ns0:sheet name="IT13-AdminCatalog" sheetId="43" ns1:id="R4faf42bf748e4cce"/>
    <ns0:sheet name="CA-IT14-NotifyChat" sheetId="44" ns1:id="Rad9f848ec0dc4b46"/>
    <ns0:sheet name="TD-IT14-NotifyChat" sheetId="45" ns1:id="R74fc425b22e94ad3"/>
    <ns0:sheet name="IT14-NotifyChat" sheetId="46" ns1:id="R87a419c740344d4d"/>
    <ns0:sheet name="CA-IT15-JourneyReport" sheetId="47" ns1:id="R830327e97f9844a2"/>
    <ns0:sheet name="TD-IT15-JourneyReport" sheetId="48" ns1:id="R73810f3223c548ec"/>
    <ns0:sheet name="IT15-JourneyReport" sheetId="49" ns1:id="R7bcafacbcb904f45"/>
  </ns0:sheets>
  <ns0:calcPr calcMode="auto" fullCalcOnLoad="1" forceFullCalc="1"/>
</ns0:workbook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<x:sst xmlns:x="http://schemas.openxmlformats.org/spreadsheetml/2006/main">
  <x:si>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</x:si>
  <x:si>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</x:si>
  <x:si>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</x:si>
  <x:si>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</x:si>
  <x:si>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</x:si>
  <x:si>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</x:si>
  <x:si>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</x:si>
  <x:si>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</x:si>
  <x:si>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</x:si>
  <x:si>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</x:si>
  <x:si>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</x:si>
  <x:si>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</x:si>
  <x:si>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</x:si>
  <x:si>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</x:si>
  <x:si>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</x:si>
  <x:si>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</x:si>
  <x:si>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</x:si>
  <x:si>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</x:si>
  <x:si>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</x:si>
  <x:si>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</x:si>
  <x:si>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</x:si>
  <x:si>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</x:si>
  <x:si>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</x:si>
  <x:si>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</x:si>
  <x:si>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</x:si>
  <x:si>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</x:si>
  <x:si>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</x:si>
  <x:si>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</x:si>
  <x:si>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</x:si>
  <x:si>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</x:si>
  <x:si>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</x:si>
  <x:si>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</x:si>
  <x:si>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</x:si>
  <x:si>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</x:si>
  <x:si>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</x:si>
  <x:si>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</x:si>
  <x:si>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TC</x:t>
  </x:si>
  <x:si>
    <x:t xml:space="preserve">VP1, VP2, VP3, VB1, VB3</x:t>
  </x:si>
  <x:si>
    <x:t xml:space="preserve">Message ID</x:t>
  </x:si>
  <x:si>
    <x:t xml:space="preserve">Note</x:t>
  </x:si>
</x:sst>
</file>

<file path=xl/styles.xml><?xml version="1.0" encoding="utf-8"?>
<x:styleSheet xmlns:x="http://schemas.openxmlformats.org/spreadsheetml/2006/main">
  <x:numFmts count="1">
    <x:numFmt numFmtId="164" formatCode="d\-mmm\-yy;@"/>
  </x:numFmts>
  <x:fonts count="34">
    <x:font>
      <x:sz val="11"/>
      <x:name val="ＭＳ Ｐゴシック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9"/>
      <x:name val="ＭＳ ゴシック"/>
    </x:font>
    <x:font>
      <x:sz val="10"/>
      <x:name val="Tahoma"/>
    </x:font>
    <x:font>
      <x:b/>
      <x:sz val="26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i/>
      <x:sz val="10"/>
      <x:color indexed="17"/>
      <x:name val="Tahoma"/>
    </x:font>
    <x:font>
      <x:b/>
      <x:sz val="10"/>
      <x:color indexed="9"/>
      <x:name val="Tahoma"/>
    </x:font>
    <x:font>
      <x:b/>
      <x:sz val="10"/>
      <x:color indexed="8"/>
      <x:name val="Tahoma"/>
    </x:font>
    <x:font>
      <x:b/>
      <x:sz val="10"/>
      <x:color indexed="10"/>
      <x:name val="Tahoma"/>
    </x:font>
    <x:font>
      <x:b/>
      <x:sz val="10"/>
      <x:name val="Tahoma"/>
    </x:font>
    <x:font>
      <x:sz val="10"/>
      <x:color indexed="12"/>
      <x:name val="Tahoma"/>
    </x:font>
    <x:font>
      <x:sz val="11"/>
      <x:color indexed="12"/>
      <x:name val="ＭＳ Ｐゴシック"/>
    </x:font>
    <x:font>
      <x:sz val="10"/>
      <x:color indexed="10"/>
      <x:name val="Tahoma"/>
    </x:font>
    <x:font>
      <x:sz val="10"/>
      <x:color indexed="8"/>
      <x:name val="Tahoma"/>
    </x:font>
    <x:font>
      <x:sz val="10"/>
      <x:color indexed="9"/>
      <x:name val="Tahoma"/>
    </x:font>
    <x:font>
      <x:b/>
      <x:sz val="10"/>
      <x:color indexed="12"/>
      <x:name val="Tahoma"/>
    </x:font>
    <x:font>
      <x:sz val="11"/>
      <x:name val="ＭＳ Ｐゴシック"/>
    </x:font>
    <x:font>
      <x:b/>
      <x:i/>
      <x:sz val="10"/>
      <x:name val="Tahoma"/>
    </x:font>
    <x:font>
      <x:sz val="8"/>
      <x:color rgb="FF000000"/>
      <x:name val="Tahoma"/>
    </x:font>
    <x:font>
      <x:sz val="11"/>
      <x:name val="ＭＳ Ｐゴシック"/>
    </x:font>
    <x:font>
      <x:i/>
      <x:sz val="10"/>
      <x:name val="Tahoma"/>
    </x:font>
    <x:font>
      <x:b/>
      <x:sz val="8"/>
      <x:color indexed="81"/>
      <x:name val="Tahoma"/>
    </x:font>
    <x:font>
      <x:sz val="8"/>
      <x:color indexed="81"/>
      <x:name val="Tahoma"/>
    </x:font>
    <x:font>
      <x:b/>
      <x:sz val="11"/>
      <x:color theme="1"/>
      <x:name val="Calibri"/>
    </x:font>
    <x:font>
      <x:b/>
      <x:sz val="11"/>
      <x:color rgb="FF0070C0"/>
      <x:name val="Calibri"/>
    </x:font>
    <x:font>
      <x:sz val="11"/>
      <x:color rgb="FF0070C0"/>
      <x:name val="Calibri"/>
    </x:font>
    <x:font>
      <x:b/>
      <x:sz val="8"/>
      <x:name val="Tahoma"/>
    </x:font>
    <x:font>
      <x:b/>
      <x:sz val="8"/>
      <x:color rgb="FF0070C0"/>
      <x:name val="Tahoma"/>
    </x:font>
    <x:font>
      <x:sz val="8"/>
      <x:name val="Tahoma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indexed="27"/>
      </x:patternFill>
    </x:fill>
    <x:fill>
      <x:patternFill patternType="solid">
        <x:fgColor theme="6" tint="-0.24998"/>
      </x:patternFill>
    </x:fill>
  </x:fills>
  <x:borders count="38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7">
    <x:xf numFmtId="0" fontId="0" fillId="0" borderId="0"/>
    <x:xf numFmtId="0" fontId="15" fillId="0" borderId="0" applyNumberFormat="0" applyFill="0" applyBorder="0" applyAlignment="0" applyProtection="0"/>
    <x:xf numFmtId="0" fontId="20" fillId="0" borderId="0"/>
    <x:xf numFmtId="0" fontId="20" fillId="0" borderId="0"/>
    <x:xf numFmtId="0" fontId="4" fillId="0" borderId="0"/>
    <x:xf numFmtId="0" fontId="23" fillId="0" borderId="0"/>
    <x:xf numFmtId="0" fontId="3" fillId="0" borderId="0"/>
  </x:cellStyleXfs>
  <x:cellXfs count="180">
    <x:xf numFmtId="0" fontId="0" fillId="0" borderId="0" xfId="0"/>
    <x:xf numFmtId="0" fontId="5" fillId="2" borderId="0" xfId="0" applyFont="1" applyFill="1"/>
    <x:xf numFmtId="0" fontId="8" fillId="2" borderId="1" xfId="0" applyFont="1" applyFill="1" applyBorder="1" applyAlignment="1">
      <x:alignment horizontal="left" vertical="center"/>
    </x:xf>
    <x:xf numFmtId="1" fontId="5" fillId="2" borderId="0" xfId="0" applyNumberFormat="1" applyFont="1" applyFill="1"/>
    <x:xf numFmtId="0" fontId="5" fillId="2" borderId="0" xfId="0" applyFont="1" applyFill="1" applyAlignment="1">
      <x:alignment horizontal="left"/>
    </x:xf>
    <x:xf numFmtId="1" fontId="5" fillId="2" borderId="0" xfId="0" applyNumberFormat="1" applyFont="1" applyFill="1"/>
    <x:xf numFmtId="0" fontId="7" fillId="2" borderId="0" xfId="0" applyFont="1" applyFill="1" applyAlignment="1">
      <x:alignment horizontal="left"/>
    </x:xf>
    <x:xf numFmtId="0" fontId="11" fillId="2" borderId="0" xfId="0" applyFont="1" applyFill="1" applyAlignment="1">
      <x:alignment horizontal="left"/>
    </x:xf>
    <x:xf numFmtId="0" fontId="12" fillId="2" borderId="0" xfId="0" applyFont="1" applyFill="1" applyAlignment="1">
      <x:alignment horizontal="left"/>
    </x:xf>
    <x:xf numFmtId="0" fontId="5" fillId="2" borderId="0" xfId="0" applyFont="1" applyFill="1" applyAlignment="1">
      <x:alignment wrapText="1"/>
    </x:xf>
    <x:xf numFmtId="1" fontId="8" fillId="2" borderId="0" xfId="0" applyNumberFormat="1" applyFont="1" applyFill="1"/>
    <x:xf numFmtId="0" fontId="5" fillId="2" borderId="0" xfId="0" applyFont="1" applyFill="1" applyAlignment="1">
      <x:alignment vertical="center"/>
    </x:xf>
    <x:xf numFmtId="1" fontId="5" fillId="2" borderId="0" xfId="0" applyNumberFormat="1" applyFont="1" applyFill="1" applyAlignment="1">
      <x:alignment vertical="center"/>
    </x:xf>
    <x:xf numFmtId="0" fontId="5" fillId="2" borderId="0" xfId="0" applyFont="1" applyFill="1" applyAlignment="1">
      <x:alignment horizontal="left" vertical="center"/>
    </x:xf>
    <x:xf numFmtId="0" fontId="13" fillId="2" borderId="0" xfId="0" applyFont="1" applyFill="1" applyAlignment="1">
      <x:alignment horizontal="center"/>
    </x:xf>
    <x:xf numFmtId="1" fontId="10" fillId="4" borderId="3" xfId="0" applyNumberFormat="1" applyFont="1" applyFill="1" applyBorder="1" applyAlignment="1">
      <x:alignment horizontal="center" vertical="center"/>
    </x:xf>
    <x:xf numFmtId="0" fontId="10" fillId="4" borderId="4" xfId="0" applyFont="1" applyFill="1" applyBorder="1" applyAlignment="1">
      <x:alignment horizontal="center" vertical="center"/>
    </x:xf>
    <x:xf numFmtId="0" fontId="10" fillId="4" borderId="12" xfId="0" applyFont="1" applyFill="1" applyBorder="1" applyAlignment="1">
      <x:alignment horizontal="center" vertical="center"/>
    </x:xf>
    <x:xf numFmtId="0" fontId="10" fillId="4" borderId="5" xfId="0" applyFont="1" applyFill="1" applyBorder="1" applyAlignment="1">
      <x:alignment horizontal="center" vertical="center"/>
    </x:xf>
    <x:xf numFmtId="1" fontId="5" fillId="2" borderId="6" xfId="0" applyNumberFormat="1" applyFont="1" applyFill="1" applyBorder="1" applyAlignment="1">
      <x:alignment vertical="center"/>
    </x:xf>
    <x:xf numFmtId="49" fontId="5" fillId="2" borderId="7" xfId="0" applyNumberFormat="1" applyFont="1" applyFill="1" applyBorder="1" applyAlignment="1">
      <x:alignment horizontal="left" vertical="center"/>
    </x:xf>
    <x:xf numFmtId="0" fontId="14" fillId="2" borderId="7" xfId="1" applyNumberFormat="1" applyFont="1" applyFill="1" applyBorder="1" applyAlignment="1">
      <x:alignment horizontal="left" vertical="center"/>
    </x:xf>
    <x:xf numFmtId="0" fontId="5" fillId="2" borderId="8" xfId="0" applyFont="1" applyFill="1" applyBorder="1" applyAlignment="1">
      <x:alignment horizontal="left" vertical="center"/>
    </x:xf>
    <x:xf numFmtId="0" fontId="5" fillId="2" borderId="7" xfId="0" applyFont="1" applyFill="1" applyBorder="1" applyAlignment="1">
      <x:alignment horizontal="left" vertical="center"/>
    </x:xf>
    <x:xf numFmtId="1" fontId="5" fillId="2" borderId="9" xfId="0" applyNumberFormat="1" applyFont="1" applyFill="1" applyBorder="1" applyAlignment="1">
      <x:alignment vertical="center"/>
    </x:xf>
    <x:xf numFmtId="49" fontId="5" fillId="2" borderId="10" xfId="0" applyNumberFormat="1" applyFont="1" applyFill="1" applyBorder="1" applyAlignment="1">
      <x:alignment horizontal="left" vertical="center"/>
    </x:xf>
    <x:xf numFmtId="0" fontId="5" fillId="2" borderId="10" xfId="0" applyFont="1" applyFill="1" applyBorder="1" applyAlignment="1">
      <x:alignment horizontal="left" vertical="center"/>
    </x:xf>
    <x:xf numFmtId="0" fontId="5" fillId="2" borderId="11" xfId="0" applyFont="1" applyFill="1" applyBorder="1" applyAlignment="1">
      <x:alignment horizontal="left" vertical="center"/>
    </x:xf>
    <x:xf numFmtId="0" fontId="16" fillId="2" borderId="0" xfId="0" applyFont="1" applyFill="1"/>
    <x:xf numFmtId="0" fontId="16" fillId="2" borderId="0" xfId="0" applyFont="1" applyFill="1" applyAlignment="1">
      <x:alignment wrapText="1"/>
    </x:xf>
    <x:xf numFmtId="0" fontId="17" fillId="2" borderId="0" xfId="0" applyFont="1" applyFill="1"/>
    <x:xf numFmtId="0" fontId="5" fillId="2" borderId="0" xfId="0" applyFont="1" applyFill="1" applyAlignment="1">
      <x:alignment horizontal="center" wrapText="1"/>
    </x:xf>
    <x:xf numFmtId="0" fontId="16" fillId="2" borderId="0" xfId="0" applyFont="1" applyFill="1" applyAlignment="1">
      <x:alignment horizontal="center" wrapText="1"/>
    </x:xf>
    <x:xf numFmtId="0" fontId="17" fillId="2" borderId="0" xfId="0" applyFont="1" applyFill="1" applyAlignment="1">
      <x:alignment horizontal="center" wrapText="1"/>
    </x:xf>
    <x:xf numFmtId="0" fontId="12" fillId="2" borderId="0" xfId="3" applyFont="1" applyFill="1" applyAlignment="1">
      <x:alignment horizontal="center" vertical="center" wrapText="1"/>
    </x:xf>
    <x:xf numFmtId="0" fontId="13" fillId="5" borderId="13" xfId="3" applyFont="1" applyFill="1" applyBorder="1" applyAlignment="1">
      <x:alignment horizontal="left" vertical="center"/>
    </x:xf>
    <x:xf numFmtId="0" fontId="13" fillId="5" borderId="14" xfId="3" applyFont="1" applyFill="1" applyBorder="1" applyAlignment="1">
      <x:alignment horizontal="left" vertical="center"/>
    </x:xf>
    <x:xf numFmtId="0" fontId="13" fillId="5" borderId="2" xfId="3" applyFont="1" applyFill="1" applyBorder="1" applyAlignment="1">
      <x:alignment horizontal="left" vertical="center"/>
    </x:xf>
    <x:xf numFmtId="0" fontId="12" fillId="2" borderId="0" xfId="3" applyFont="1" applyFill="1" applyAlignment="1">
      <x:alignment horizontal="left" vertical="center"/>
    </x:xf>
    <x:xf numFmtId="0" fontId="5" fillId="2" borderId="1" xfId="3" applyFont="1" applyFill="1" applyBorder="1" applyAlignment="1">
      <x:alignment vertical="top" wrapText="1"/>
    </x:xf>
    <x:xf numFmtId="0" fontId="9" fillId="2" borderId="1" xfId="3" applyFont="1" applyFill="1" applyBorder="1" applyAlignment="1">
      <x:alignment vertical="top" wrapText="1"/>
    </x:xf>
    <x:xf numFmtId="0" fontId="9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vertical="top" wrapText="1"/>
    </x:xf>
    <x:xf numFmtId="0" fontId="16" fillId="2" borderId="0" xfId="0" applyFont="1" applyFill="1" applyAlignment="1">
      <x:alignment vertical="top" wrapText="1"/>
    </x:xf>
    <x:xf numFmtId="0" fontId="17" fillId="2" borderId="0" xfId="0" applyFont="1" applyFill="1" applyAlignment="1">
      <x:alignment vertical="top"/>
    </x:xf>
    <x:xf numFmtId="0" fontId="17" fillId="2" borderId="1" xfId="0" applyFont="1" applyFill="1" applyBorder="1" applyAlignment="1">
      <x:alignment horizontal="left" vertical="top" wrapText="1"/>
    </x:xf>
    <x:xf numFmtId="0" fontId="5" fillId="2" borderId="1" xfId="0" applyFont="1" applyFill="1" applyBorder="1"/>
    <x:xf numFmtId="0" fontId="13" fillId="2" borderId="0" xfId="2" applyFont="1" applyFill="1"/>
    <x:xf numFmtId="0" fontId="5" fillId="2" borderId="0" xfId="2" applyFont="1" applyFill="1"/>
    <x:xf numFmtId="164" fontId="5" fillId="2" borderId="0" xfId="2" applyNumberFormat="1" applyFont="1" applyFill="1"/>
    <x:xf numFmtId="0" fontId="8" fillId="2" borderId="2" xfId="0" applyFont="1" applyFill="1" applyBorder="1" applyAlignment="1">
      <x:alignment horizontal="left"/>
    </x:xf>
    <x:xf numFmtId="0" fontId="5" fillId="2" borderId="2" xfId="0" applyFont="1" applyFill="1" applyBorder="1" applyAlignment="1">
      <x:alignment vertical="top"/>
    </x:xf>
    <x:xf numFmtId="0" fontId="8" fillId="2" borderId="1" xfId="0" applyFont="1" applyFill="1" applyBorder="1" applyAlignment="1">
      <x:alignment vertical="center"/>
    </x:xf>
    <x:xf numFmtId="0" fontId="9" fillId="2" borderId="2" xfId="0" applyFont="1" applyFill="1" applyBorder="1" applyAlignment="1">
      <x:alignment vertical="top"/>
    </x:xf>
    <x:xf numFmtId="0" fontId="8" fillId="2" borderId="0" xfId="0" applyFont="1" applyFill="1"/>
    <x:xf numFmtId="0" fontId="9" fillId="2" borderId="0" xfId="2" applyFont="1" applyFill="1"/>
    <x:xf numFmtId="0" fontId="5" fillId="2" borderId="15" xfId="0" applyFont="1" applyFill="1" applyBorder="1"/>
    <x:xf numFmtId="0" fontId="10" fillId="3" borderId="16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/>
    </x:xf>
    <x:xf numFmtId="0" fontId="10" fillId="3" borderId="4" xfId="0" applyFont="1" applyFill="1" applyBorder="1" applyAlignment="1">
      <x:alignment horizontal="center" wrapText="1"/>
    </x:xf>
    <x:xf numFmtId="0" fontId="10" fillId="3" borderId="12" xfId="0" applyFont="1" applyFill="1" applyBorder="1" applyAlignment="1">
      <x:alignment horizontal="center"/>
    </x:xf>
    <x:xf numFmtId="0" fontId="10" fillId="3" borderId="17" xfId="0" applyFont="1" applyFill="1" applyBorder="1" applyAlignment="1">
      <x:alignment horizontal="center" wrapText="1"/>
    </x:xf>
    <x:xf numFmtId="0" fontId="5" fillId="2" borderId="18" xfId="0" applyFont="1" applyFill="1" applyBorder="1" applyAlignment="1">
      <x:alignment horizontal="center"/>
    </x:xf>
    <x:xf numFmtId="0" fontId="5" fillId="2" borderId="7" xfId="0" applyFont="1" applyFill="1" applyBorder="1"/>
    <x:xf numFmtId="0" fontId="5" fillId="2" borderId="7" xfId="0" applyFont="1" applyFill="1" applyBorder="1" applyAlignment="1">
      <x:alignment horizontal="center"/>
    </x:xf>
    <x:xf numFmtId="0" fontId="5" fillId="2" borderId="19" xfId="0" applyFont="1" applyFill="1" applyBorder="1" applyAlignment="1">
      <x:alignment horizontal="center"/>
    </x:xf>
    <x:xf numFmtId="0" fontId="5" fillId="2" borderId="20" xfId="0" applyFont="1" applyFill="1" applyBorder="1" applyAlignment="1">
      <x:alignment horizontal="center"/>
    </x:xf>
    <x:xf numFmtId="0" fontId="18" fillId="3" borderId="21" xfId="0" applyFont="1" applyFill="1" applyBorder="1" applyAlignment="1">
      <x:alignment horizontal="center"/>
    </x:xf>
    <x:xf numFmtId="0" fontId="10" fillId="3" borderId="10" xfId="0" applyFont="1" applyFill="1" applyBorder="1"/>
    <x:xf numFmtId="0" fontId="18" fillId="3" borderId="10" xfId="0" applyFont="1" applyFill="1" applyBorder="1" applyAlignment="1">
      <x:alignment horizontal="center"/>
    </x:xf>
    <x:xf numFmtId="0" fontId="18" fillId="3" borderId="22" xfId="0" applyFont="1" applyFill="1" applyBorder="1" applyAlignment="1">
      <x:alignment horizontal="center"/>
    </x:xf>
    <x:xf numFmtId="0" fontId="5" fillId="2" borderId="0" xfId="0" applyFont="1" applyFill="1" applyAlignment="1">
      <x:alignment horizontal="center"/>
    </x:xf>
    <x:xf numFmtId="10" fontId="5" fillId="2" borderId="0" xfId="0" applyNumberFormat="1" applyFont="1" applyFill="1" applyAlignment="1">
      <x:alignment horizontal="center"/>
    </x:xf>
    <x:xf numFmtId="9" fontId="5" fillId="2" borderId="0" xfId="0" applyNumberFormat="1" applyFont="1" applyFill="1" applyAlignment="1">
      <x:alignment horizontal="center"/>
    </x:xf>
    <x:xf numFmtId="0" fontId="8" fillId="2" borderId="0" xfId="0" applyFont="1" applyFill="1" applyAlignment="1">
      <x:alignment horizontal="left"/>
    </x:xf>
    <x:xf numFmtId="2" fontId="19" fillId="2" borderId="0" xfId="0" applyNumberFormat="1" applyFont="1" applyFill="1" applyAlignment="1">
      <x:alignment horizontal="right" wrapText="1"/>
    </x:xf>
    <x:xf numFmtId="0" fontId="9" fillId="2" borderId="0" xfId="3" applyFont="1" applyFill="1" applyAlignment="1">
      <x:alignment horizontal="left" wrapText="1"/>
    </x:xf>
    <x:xf numFmtId="0" fontId="11" fillId="2" borderId="0" xfId="0" applyFont="1" applyFill="1" applyAlignment="1">
      <x:alignment horizontal="center" vertical="center" wrapText="1"/>
    </x:xf>
    <x:xf numFmtId="0" fontId="17" fillId="2" borderId="0" xfId="0" applyFont="1" applyFill="1" applyAlignment="1">
      <x:alignment horizontal="center" vertical="center" wrapText="1"/>
    </x:xf>
    <x:xf numFmtId="0" fontId="13" fillId="5" borderId="23" xfId="3" applyFont="1" applyFill="1" applyBorder="1" applyAlignment="1">
      <x:alignment horizontal="left" vertical="center"/>
    </x:xf>
    <x:xf numFmtId="0" fontId="13" fillId="5" borderId="24" xfId="3" applyFont="1" applyFill="1" applyBorder="1" applyAlignment="1">
      <x:alignment horizontal="left" vertical="center"/>
    </x:xf>
    <x:xf numFmtId="0" fontId="13" fillId="5" borderId="25" xfId="3" applyFont="1" applyFill="1" applyBorder="1" applyAlignment="1">
      <x:alignment horizontal="left" vertical="center"/>
    </x:xf>
    <x:xf numFmtId="0" fontId="9" fillId="2" borderId="0" xfId="3" applyFont="1" applyFill="1" applyAlignment="1">
      <x:alignment wrapText="1"/>
    </x:xf>
    <x:xf numFmtId="0" fontId="10" fillId="6" borderId="26" xfId="3" applyFont="1" applyFill="1" applyBorder="1" applyAlignment="1">
      <x:alignment horizontal="center" vertical="center" wrapText="1"/>
    </x:xf>
    <x:xf numFmtId="0" fontId="21" fillId="2" borderId="26" xfId="3" applyFont="1" applyFill="1" applyBorder="1" applyAlignment="1">
      <x:alignment horizontal="center" vertical="top" wrapText="1"/>
    </x:xf>
    <x:xf numFmtId="0" fontId="5" fillId="2" borderId="26" xfId="3" applyFont="1" applyFill="1" applyBorder="1" applyAlignment="1">
      <x:alignment horizontal="center" vertical="top" wrapText="1"/>
    </x:xf>
    <x:xf numFmtId="0" fontId="21" fillId="2" borderId="30" xfId="3" applyFont="1" applyFill="1" applyBorder="1" applyAlignment="1">
      <x:alignment horizontal="center" vertical="top" wrapText="1"/>
    </x:xf>
    <x:xf numFmtId="0" fontId="21" fillId="2" borderId="31" xfId="3" applyFont="1" applyFill="1" applyBorder="1" applyAlignment="1">
      <x:alignment horizontal="center" vertical="top" wrapText="1"/>
    </x:xf>
    <x:xf numFmtId="0" fontId="21" fillId="2" borderId="32" xfId="3" applyFont="1" applyFill="1" applyBorder="1" applyAlignment="1">
      <x:alignment horizontal="center" vertical="top" wrapText="1"/>
    </x:xf>
    <x:xf numFmtId="0" fontId="5" fillId="2" borderId="33" xfId="3" applyFont="1" applyFill="1" applyBorder="1" applyAlignment="1">
      <x:alignment horizontal="center" vertical="top" wrapText="1"/>
    </x:xf>
    <x:xf numFmtId="0" fontId="5" fillId="2" borderId="34" xfId="3" applyFont="1" applyFill="1" applyBorder="1" applyAlignment="1">
      <x:alignment horizontal="center" vertical="top" wrapText="1"/>
    </x:xf>
    <x:xf numFmtId="0" fontId="5" fillId="2" borderId="31" xfId="3" applyFont="1" applyFill="1" applyBorder="1" applyAlignment="1">
      <x:alignment horizontal="center" vertical="top" wrapText="1"/>
    </x:xf>
    <x:xf numFmtId="0" fontId="13" fillId="2" borderId="27" xfId="3" applyFont="1" applyFill="1" applyBorder="1" applyAlignment="1">
      <x:alignment horizontal="center" vertical="top" wrapText="1"/>
    </x:xf>
    <x:xf numFmtId="0" fontId="13" fillId="2" borderId="30" xfId="3" applyFont="1" applyFill="1" applyBorder="1" applyAlignment="1">
      <x:alignment horizontal="center" vertical="top" wrapText="1"/>
    </x:xf>
    <x:xf numFmtId="0" fontId="15" fillId="2" borderId="7" xfId="1" applyNumberFormat="1" applyFill="1" applyBorder="1" applyAlignment="1">
      <x:alignment horizontal="left" vertical="center"/>
    </x:xf>
    <x:xf numFmtId="0" fontId="6" fillId="0" borderId="13" xfId="5" applyFont="1" applyBorder="1" applyAlignment="1">
      <x:alignment horizontal="center" vertical="center"/>
    </x:xf>
    <x:xf numFmtId="0" fontId="5" fillId="0" borderId="0" xfId="5" applyFont="1" applyAlignment="1">
      <x:alignment horizontal="center" vertical="center"/>
    </x:xf>
    <x:xf numFmtId="0" fontId="8" fillId="2" borderId="0" xfId="5" applyFont="1" applyFill="1" applyAlignment="1">
      <x:alignment horizontal="left"/>
    </x:xf>
    <x:xf numFmtId="0" fontId="9" fillId="0" borderId="0" xfId="5" applyFont="1" applyAlignment="1">
      <x:alignment horizontal="left"/>
    </x:xf>
    <x:xf numFmtId="0" fontId="5" fillId="0" borderId="0" xfId="5" applyFont="1"/>
    <x:xf numFmtId="0" fontId="5" fillId="2" borderId="0" xfId="5" applyFont="1" applyFill="1"/>
    <x:xf numFmtId="0" fontId="13" fillId="2" borderId="1" xfId="5" applyFont="1" applyFill="1" applyBorder="1" applyAlignment="1">
      <x:alignment horizontal="left"/>
    </x:xf>
    <x:xf numFmtId="0" fontId="5" fillId="0" borderId="2" xfId="5" applyFont="1" applyBorder="1"/>
    <x:xf numFmtId="0" fontId="24" fillId="0" borderId="2" xfId="5" applyFont="1" applyBorder="1"/>
    <x:xf numFmtId="0" fontId="13" fillId="2" borderId="1" xfId="5" applyFont="1" applyFill="1" applyBorder="1" applyAlignment="1">
      <x:alignment vertical="center"/>
    </x:xf>
    <x:xf numFmtId="0" fontId="24" fillId="0" borderId="2" xfId="5" applyFont="1" applyBorder="1" applyAlignment="1">
      <x:alignment horizontal="left"/>
    </x:xf>
    <x:xf numFmtId="0" fontId="13" fillId="0" borderId="0" xfId="5" applyFont="1"/>
    <x:xf numFmtId="0" fontId="9" fillId="0" borderId="0" xfId="5" applyFont="1" applyAlignment="1">
      <x:alignment horizontal="left"/>
    </x:xf>
    <x:xf numFmtId="0" fontId="8" fillId="0" borderId="0" xfId="5" applyFont="1" applyAlignment="1">
      <x:alignment horizontal="left"/>
    </x:xf>
    <x:xf numFmtId="0" fontId="13" fillId="0" borderId="0" xfId="5" applyFont="1" applyAlignment="1">
      <x:alignment horizontal="left"/>
    </x:xf>
    <x:xf numFmtId="164" fontId="10" fillId="3" borderId="3" xfId="5" applyNumberFormat="1" applyFont="1" applyFill="1" applyBorder="1" applyAlignment="1">
      <x:alignment horizontal="center" vertical="center"/>
    </x:xf>
    <x:xf numFmtId="0" fontId="10" fillId="3" borderId="4" xfId="5" applyFont="1" applyFill="1" applyBorder="1" applyAlignment="1">
      <x:alignment horizontal="center" vertical="center"/>
    </x:xf>
    <x:xf numFmtId="0" fontId="10" fillId="3" borderId="5" xfId="5" applyFont="1" applyFill="1" applyBorder="1" applyAlignment="1">
      <x:alignment horizontal="center" vertical="center"/>
    </x:xf>
    <x:xf numFmtId="0" fontId="5" fillId="0" borderId="0" xfId="5" applyFont="1" applyAlignment="1">
      <x:alignment vertical="center"/>
    </x:xf>
    <x:xf numFmtId="0" fontId="24" fillId="0" borderId="6" xfId="5" applyFont="1" applyBorder="1" applyAlignment="1">
      <x:alignment vertical="top" wrapText="1"/>
    </x:xf>
    <x:xf numFmtId="49" fontId="5" fillId="0" borderId="7" xfId="5" applyNumberFormat="1" applyFont="1" applyBorder="1" applyAlignment="1">
      <x:alignment vertical="top"/>
    </x:xf>
    <x:xf numFmtId="0" fontId="5" fillId="0" borderId="7" xfId="5" applyFont="1" applyBorder="1" applyAlignment="1">
      <x:alignment vertical="top"/>
    </x:xf>
    <x:xf numFmtId="15" fontId="5" fillId="0" borderId="7" xfId="5" applyNumberFormat="1" applyFont="1" applyBorder="1" applyAlignment="1">
      <x:alignment vertical="top"/>
    </x:xf>
    <x:xf numFmtId="0" fontId="24" fillId="0" borderId="8" xfId="5" applyFont="1" applyBorder="1" applyAlignment="1">
      <x:alignment vertical="top" wrapText="1"/>
    </x:xf>
    <x:xf numFmtId="0" fontId="5" fillId="0" borderId="0" xfId="5" applyFont="1" applyAlignment="1">
      <x:alignment vertical="top"/>
    </x:xf>
    <x:xf numFmtId="164" fontId="5" fillId="0" borderId="6" xfId="5" applyNumberFormat="1" applyFont="1" applyBorder="1" applyAlignment="1">
      <x:alignment vertical="top"/>
    </x:xf>
    <x:xf numFmtId="0" fontId="5" fillId="0" borderId="8" xfId="5" applyFont="1" applyBorder="1" applyAlignment="1">
      <x:alignment vertical="top"/>
    </x:xf>
    <x:xf numFmtId="164" fontId="5" fillId="0" borderId="9" xfId="5" applyNumberFormat="1" applyFont="1" applyBorder="1" applyAlignment="1">
      <x:alignment vertical="top"/>
    </x:xf>
    <x:xf numFmtId="49" fontId="5" fillId="0" borderId="10" xfId="5" applyNumberFormat="1" applyFont="1" applyBorder="1" applyAlignment="1">
      <x:alignment vertical="top"/>
    </x:xf>
    <x:xf numFmtId="0" fontId="5" fillId="0" borderId="10" xfId="5" applyFont="1" applyBorder="1" applyAlignment="1">
      <x:alignment vertical="top"/>
    </x:xf>
    <x:xf numFmtId="0" fontId="5" fillId="0" borderId="11" xfId="5" applyFont="1" applyBorder="1" applyAlignment="1">
      <x:alignment vertical="top"/>
    </x:xf>
    <x:xf numFmtId="0" fontId="5" fillId="0" borderId="0" xfId="5" applyFont="1" applyAlignment="1">
      <x:alignment horizontal="left"/>
    </x:xf>
    <x:xf numFmtId="0" fontId="3" fillId="0" borderId="0" xfId="6"/>
    <x:xf numFmtId="0" fontId="28" fillId="0" borderId="26" xfId="6" applyFont="1" applyBorder="1" applyAlignment="1">
      <x:alignment vertical="center"/>
    </x:xf>
    <x:xf numFmtId="0" fontId="29" fillId="0" borderId="26" xfId="6" applyFont="1" applyBorder="1" applyAlignment="1">
      <x:alignment horizontal="center" vertical="center"/>
    </x:xf>
    <x:xf numFmtId="0" fontId="29" fillId="0" borderId="26" xfId="6" applyFont="1" applyBorder="1" applyAlignment="1">
      <x:alignment horizontal="center" vertical="center" wrapText="1"/>
    </x:xf>
    <x:xf numFmtId="0" fontId="28" fillId="0" borderId="26" xfId="6" applyFont="1" applyBorder="1" applyAlignment="1">
      <x:alignment horizontal="center" vertical="center"/>
    </x:xf>
    <x:xf numFmtId="0" fontId="29" fillId="0" borderId="0" xfId="6" applyFont="1" applyAlignment="1">
      <x:alignment vertical="center"/>
    </x:xf>
    <x:xf numFmtId="0" fontId="28" fillId="0" borderId="26" xfId="6" applyFont="1" applyBorder="1" applyAlignment="1">
      <x:alignment horizontal="center"/>
    </x:xf>
    <x:xf numFmtId="0" fontId="29" fillId="0" borderId="26" xfId="6" applyFont="1" applyBorder="1" applyAlignment="1">
      <x:alignment vertical="center"/>
    </x:xf>
    <x:xf numFmtId="0" fontId="29" fillId="0" borderId="26" xfId="6" applyFont="1" applyBorder="1"/>
    <x:xf numFmtId="0" fontId="29" fillId="0" borderId="0" xfId="6" applyFont="1" applyAlignment="1">
      <x:alignment horizontal="center" vertical="center"/>
    </x:xf>
    <x:xf numFmtId="0" fontId="3" fillId="0" borderId="26" xfId="6" applyBorder="1"/>
    <x:xf numFmtId="0" fontId="27" fillId="0" borderId="26" xfId="6" applyFont="1" applyBorder="1"/>
    <x:xf numFmtId="0" fontId="3" fillId="0" borderId="26" xfId="6" applyBorder="1" applyAlignment="1">
      <x:alignment horizontal="center" vertical="center"/>
    </x:xf>
    <x:xf numFmtId="0" fontId="30" fillId="0" borderId="0" xfId="5" applyFont="1"/>
    <x:xf numFmtId="0" fontId="31" fillId="0" borderId="0" xfId="5" applyFont="1"/>
    <x:xf numFmtId="0" fontId="32" fillId="0" borderId="0" xfId="5" applyFont="1"/>
    <x:xf numFmtId="0" fontId="30" fillId="0" borderId="0" xfId="5" applyFont="1" applyAlignment="1">
      <x:alignment horizontal="center"/>
    </x:xf>
    <x:xf numFmtId="0" fontId="30" fillId="0" borderId="0" xfId="5" applyFont="1" applyAlignment="1">
      <x:alignment horizontal="left"/>
    </x:xf>
    <x:xf numFmtId="0" fontId="30" fillId="0" borderId="0" xfId="5" applyFont="1" applyAlignment="1">
      <x:alignment horizontal="right"/>
    </x:xf>
    <x:xf numFmtId="49" fontId="32" fillId="0" borderId="0" xfId="5" applyNumberFormat="1" applyFont="1" applyAlignment="1">
      <x:alignment horizontal="center"/>
    </x:xf>
    <x:xf numFmtId="0" fontId="32" fillId="0" borderId="0" xfId="5" applyFont="1" applyAlignment="1">
      <x:alignment horizontal="left"/>
    </x:xf>
    <x:xf numFmtId="0" fontId="32" fillId="0" borderId="0" xfId="5" applyFont="1" applyAlignment="1">
      <x:alignment horizontal="right"/>
    </x:xf>
    <x:xf numFmtId="0" fontId="32" fillId="0" borderId="0" xfId="5" applyFont="1" applyAlignment="1">
      <x:alignment horizontal="center"/>
    </x:xf>
    <x:xf numFmtId="0" fontId="29" fillId="0" borderId="26" xfId="6" applyFont="1" applyBorder="1" applyAlignment="1">
      <x:alignment horizontal="center" vertical="top"/>
    </x:xf>
    <x:xf numFmtId="0" fontId="29" fillId="0" borderId="26" xfId="6" applyFont="1" applyBorder="1" applyAlignment="1">
      <x:alignment vertical="top" wrapText="1"/>
    </x:xf>
    <x:xf numFmtId="0" fontId="3" fillId="0" borderId="26" xfId="6" applyBorder="1" applyAlignment="1">
      <x:alignment horizontal="center"/>
    </x:xf>
    <x:xf numFmtId="0" fontId="33" fillId="0" borderId="0" xfId="0" applyFont="1"/>
    <x:xf numFmtId="0" fontId="33" fillId="0" borderId="26" xfId="0" applyFont="1" applyBorder="1"/>
    <x:xf numFmtId="0" fontId="2" fillId="0" borderId="26" xfId="6" applyFont="1" applyBorder="1" applyAlignment="1">
      <x:alignment wrapText="1"/>
    </x:xf>
    <x:xf numFmtId="0" fontId="7" fillId="0" borderId="1" xfId="5" applyFont="1" applyBorder="1" applyAlignment="1">
      <x:alignment horizontal="center" vertical="center"/>
    </x:xf>
    <x:xf numFmtId="0" fontId="24" fillId="0" borderId="1" xfId="5" applyFont="1" applyBorder="1" applyAlignment="1">
      <x:alignment horizontal="left"/>
    </x:xf>
    <x:xf numFmtId="0" fontId="24" fillId="0" borderId="13" xfId="5" applyFont="1" applyBorder="1" applyAlignment="1">
      <x:alignment horizontal="left" vertical="center"/>
    </x:xf>
    <x:xf numFmtId="0" fontId="24" fillId="0" borderId="14" xfId="5" applyFont="1" applyBorder="1" applyAlignment="1">
      <x:alignment horizontal="left" vertical="center"/>
    </x:xf>
    <x:xf numFmtId="0" fontId="24" fillId="0" borderId="2" xfId="5" applyFont="1" applyBorder="1" applyAlignment="1">
      <x:alignment horizontal="left" vertical="center"/>
    </x:xf>
    <x:xf numFmtId="1" fontId="8" fillId="2" borderId="1" xfId="0" applyNumberFormat="1" applyFont="1" applyFill="1" applyBorder="1" applyAlignment="1">
      <x:alignment vertical="center" wrapText="1"/>
    </x:xf>
    <x:xf numFmtId="0" fontId="9" fillId="2" borderId="1" xfId="0" applyFont="1" applyFill="1" applyBorder="1" applyAlignment="1">
      <x:alignment vertical="top" wrapText="1"/>
    </x:xf>
    <x:xf numFmtId="1" fontId="8" fillId="2" borderId="13" xfId="0" applyNumberFormat="1" applyFont="1" applyFill="1" applyBorder="1"/>
    <x:xf numFmtId="0" fontId="9" fillId="2" borderId="1" xfId="0" applyFont="1" applyFill="1" applyBorder="1" applyAlignment="1">
      <x:alignment horizontal="left"/>
    </x:xf>
    <x:xf numFmtId="0" fontId="8" fillId="2" borderId="1" xfId="0" applyFont="1" applyFill="1" applyBorder="1" applyAlignment="1">
      <x:alignment horizontal="left"/>
    </x:xf>
    <x:xf numFmtId="0" fontId="9" fillId="2" borderId="1" xfId="2" applyFont="1" applyFill="1" applyBorder="1" applyAlignment="1">
      <x:alignment vertical="top"/>
    </x:xf>
    <x:xf numFmtId="0" fontId="7" fillId="2" borderId="0" xfId="2" applyFont="1" applyFill="1" applyAlignment="1">
      <x:alignment horizontal="center"/>
    </x:xf>
    <x:xf numFmtId="0" fontId="5" fillId="2" borderId="28" xfId="3" applyFont="1" applyFill="1" applyBorder="1" applyAlignment="1">
      <x:alignment horizontal="left" vertical="top" wrapText="1"/>
    </x:xf>
    <x:xf numFmtId="0" fontId="5" fillId="2" borderId="29" xfId="3" applyFont="1" applyFill="1" applyBorder="1" applyAlignment="1">
      <x:alignment horizontal="left" vertical="top" wrapText="1"/>
    </x:xf>
    <x:xf numFmtId="0" fontId="5" fillId="2" borderId="26" xfId="3" applyFont="1" applyFill="1" applyBorder="1" applyAlignment="1">
      <x:alignment horizontal="left" vertical="top" wrapText="1"/>
    </x:xf>
    <x:xf numFmtId="0" fontId="5" fillId="2" borderId="31" xfId="3" applyFont="1" applyFill="1" applyBorder="1" applyAlignment="1">
      <x:alignment horizontal="left" vertical="top" wrapText="1"/>
    </x:xf>
    <x:xf numFmtId="0" fontId="27" fillId="0" borderId="0" xfId="6" applyFont="1" applyAlignment="1">
      <x:alignment horizontal="left"/>
    </x:xf>
    <x:xf numFmtId="0" fontId="28" fillId="0" borderId="35" xfId="6" applyFont="1" applyBorder="1" applyAlignment="1">
      <x:alignment horizontal="center" vertical="center"/>
    </x:xf>
    <x:xf numFmtId="0" fontId="28" fillId="0" borderId="36" xfId="6" applyFont="1" applyBorder="1" applyAlignment="1">
      <x:alignment horizontal="center" vertical="center"/>
    </x:xf>
    <x:xf numFmtId="0" fontId="28" fillId="0" borderId="37" xfId="6" applyFont="1" applyBorder="1" applyAlignment="1">
      <x:alignment horizontal="center" vertical="center"/>
    </x:xf>
    <x:xf numFmtId="0" fontId="28" fillId="0" borderId="35" xfId="6" applyFont="1" applyBorder="1" applyAlignment="1">
      <x:alignment horizontal="left" vertical="center"/>
    </x:xf>
    <x:xf numFmtId="0" fontId="28" fillId="0" borderId="36" xfId="6" applyFont="1" applyBorder="1" applyAlignment="1">
      <x:alignment horizontal="left" vertical="center"/>
    </x:xf>
    <x:xf numFmtId="0" fontId="28" fillId="0" borderId="37" xfId="6" applyFont="1" applyBorder="1" applyAlignment="1">
      <x:alignment horizontal="left" vertical="center"/>
    </x:xf>
    <x:xf numFmtId="0" fontId="1" fillId="0" borderId="0" xfId="6" applyFont="1"/>
  </x:cellXfs>
  <x:cellStyles count="7">
    <x:cellStyle name="Hyperlink" xfId="1"/>
    <x:cellStyle name="Normal" xfId="0"/>
    <x:cellStyle name="Normal 2" xfId="6"/>
    <x:cellStyle name="Normal_Functional Test Case v1.0" xfId="2"/>
    <x:cellStyle name="Normal_Sheet1" xfId="3"/>
    <x:cellStyle name="Normal_Template_UnitTest Case_v0.9" xfId="5"/>
    <x:cellStyle name="標準_結合試験(AllOvertheWorld)" xfId="4"/>
  </x:cellStyles>
</x:styleSheet>
</file>

<file path=xl/_rels/workbook.xml.rels><?xml version='1.0' encoding='utf-8'?>
<ns0:Relationships xmlns:ns0="http://schemas.openxmlformats.org/package/2006/relationships"><ns0:Relationship Type="http://schemas.openxmlformats.org/officeDocument/2006/relationships/styles" Target="/xl/styles.xml" Id="R92e5d6ddd59a4659" /><ns0:Relationship Type="http://schemas.openxmlformats.org/officeDocument/2006/relationships/theme" Target="/xl/theme/theme1.xml" Id="Rf82853714d2744b8" /><ns0:Relationship Type="http://schemas.openxmlformats.org/officeDocument/2006/relationships/sharedStrings" Target="/xl/sharedStrings.xml" Id="R9f2b50940c234e4c" /><ns0:Relationship Type="http://schemas.openxmlformats.org/officeDocument/2006/relationships/worksheet" Target="/xl/worksheets/sheet1.xml" Id="R5645e9a57a28468f" /><ns0:Relationship Type="http://schemas.openxmlformats.org/officeDocument/2006/relationships/worksheet" Target="/xl/worksheets/sheet2.xml" Id="R46c61b60bf674e58" /><ns0:Relationship Type="http://schemas.openxmlformats.org/officeDocument/2006/relationships/worksheet" Target="/xl/worksheets/sheet3.xml" Id="Rdfecb95dce3c4a3f" /><ns0:Relationship Type="http://schemas.openxmlformats.org/officeDocument/2006/relationships/worksheet" Target="/xl/worksheets/sheet4.xml" Id="R4b5a8789f6034779" /><ns0:Relationship Type="http://schemas.openxmlformats.org/officeDocument/2006/relationships/worksheet" Target="/xl/worksheets/sheet5.xml" Id="R832505925b2642b2" /><ns0:Relationship Type="http://schemas.openxmlformats.org/officeDocument/2006/relationships/worksheet" Target="/xl/worksheets/sheet6.xml" Id="R859dabfc2fa84efe" /><ns0:Relationship Type="http://schemas.openxmlformats.org/officeDocument/2006/relationships/worksheet" Target="/xl/worksheets/sheet7.xml" Id="R84693a38d1a649b5" /><ns0:Relationship Type="http://schemas.openxmlformats.org/officeDocument/2006/relationships/worksheet" Target="/xl/worksheets/sheet8.xml" Id="Race8a38d467a463d" /><ns0:Relationship Type="http://schemas.openxmlformats.org/officeDocument/2006/relationships/worksheet" Target="/xl/worksheets/sheet9.xml" Id="Re4057bfdd9fa408a" /><ns0:Relationship Type="http://schemas.openxmlformats.org/officeDocument/2006/relationships/worksheet" Target="/xl/worksheets/sheet10.xml" Id="R91af04a611064dbf" /><ns0:Relationship Type="http://schemas.openxmlformats.org/officeDocument/2006/relationships/worksheet" Target="/xl/worksheets/sheet11.xml" Id="Rfb765ad84a534c73" /><ns0:Relationship Type="http://schemas.openxmlformats.org/officeDocument/2006/relationships/worksheet" Target="/xl/worksheets/sheet12.xml" Id="R93d2def92b044752" /><ns0:Relationship Type="http://schemas.openxmlformats.org/officeDocument/2006/relationships/worksheet" Target="/xl/worksheets/sheet13.xml" Id="R9f1bdd437c774640" /><ns0:Relationship Type="http://schemas.openxmlformats.org/officeDocument/2006/relationships/worksheet" Target="/xl/worksheets/sheet14.xml" Id="R5c75ae9151b24b12" /><ns0:Relationship Type="http://schemas.openxmlformats.org/officeDocument/2006/relationships/worksheet" Target="/xl/worksheets/sheet15.xml" Id="Rd4e05c1bdf01469b" /><ns0:Relationship Type="http://schemas.openxmlformats.org/officeDocument/2006/relationships/worksheet" Target="/xl/worksheets/sheet16.xml" Id="Reaad2911d0a245da" /><ns0:Relationship Type="http://schemas.openxmlformats.org/officeDocument/2006/relationships/worksheet" Target="/xl/worksheets/sheet17.xml" Id="R0153171b0c6741c7" /><ns0:Relationship Type="http://schemas.openxmlformats.org/officeDocument/2006/relationships/worksheet" Target="/xl/worksheets/sheet18.xml" Id="Rcdb089100904465c" /><ns0:Relationship Type="http://schemas.openxmlformats.org/officeDocument/2006/relationships/worksheet" Target="/xl/worksheets/sheet19.xml" Id="R0024aaef906141f7" /><ns0:Relationship Type="http://schemas.openxmlformats.org/officeDocument/2006/relationships/worksheet" Target="/xl/worksheets/sheet20.xml" Id="R04ad1891b1c44163" /><ns0:Relationship Type="http://schemas.openxmlformats.org/officeDocument/2006/relationships/worksheet" Target="/xl/worksheets/sheet21.xml" Id="R8a3c1b222dd747fb" /><ns0:Relationship Type="http://schemas.openxmlformats.org/officeDocument/2006/relationships/worksheet" Target="/xl/worksheets/sheet22.xml" Id="Rb420434657c44e33" /><ns0:Relationship Type="http://schemas.openxmlformats.org/officeDocument/2006/relationships/worksheet" Target="/xl/worksheets/sheet23.xml" Id="Ree3e6be810fe4886" /><ns0:Relationship Type="http://schemas.openxmlformats.org/officeDocument/2006/relationships/worksheet" Target="/xl/worksheets/sheet24.xml" Id="R6fbe0010be704508" /><ns0:Relationship Type="http://schemas.openxmlformats.org/officeDocument/2006/relationships/worksheet" Target="/xl/worksheets/sheet25.xml" Id="Rb9322a55421b49bd" /><ns0:Relationship Type="http://schemas.openxmlformats.org/officeDocument/2006/relationships/worksheet" Target="/xl/worksheets/sheet26.xml" Id="Rff0752d374344dd5" /><ns0:Relationship Type="http://schemas.openxmlformats.org/officeDocument/2006/relationships/worksheet" Target="/xl/worksheets/sheet27.xml" Id="R55e07774cf61496a" /><ns0:Relationship Type="http://schemas.openxmlformats.org/officeDocument/2006/relationships/worksheet" Target="/xl/worksheets/sheet28.xml" Id="R25f1c73c6ccb4398" /><ns0:Relationship Type="http://schemas.openxmlformats.org/officeDocument/2006/relationships/worksheet" Target="/xl/worksheets/sheet29.xml" Id="Rc0850cdef70e487e" /><ns0:Relationship Type="http://schemas.openxmlformats.org/officeDocument/2006/relationships/worksheet" Target="/xl/worksheets/sheet30.xml" Id="R7ba9682d673746a8" /><ns0:Relationship Type="http://schemas.openxmlformats.org/officeDocument/2006/relationships/worksheet" Target="/xl/worksheets/sheet31.xml" Id="R1415cff74dc440c0" /><ns0:Relationship Type="http://schemas.openxmlformats.org/officeDocument/2006/relationships/worksheet" Target="/xl/worksheets/sheet32.xml" Id="R4056e72e26b84540" /><ns0:Relationship Type="http://schemas.openxmlformats.org/officeDocument/2006/relationships/worksheet" Target="/xl/worksheets/sheet33.xml" Id="R2acf951fd8ac4f5d" /><ns0:Relationship Type="http://schemas.openxmlformats.org/officeDocument/2006/relationships/worksheet" Target="/xl/worksheets/sheet34.xml" Id="R937b7183354f4157" /><ns0:Relationship Type="http://schemas.openxmlformats.org/officeDocument/2006/relationships/worksheet" Target="/xl/worksheets/sheet35.xml" Id="R5a3c496488ff41cb" /><ns0:Relationship Type="http://schemas.openxmlformats.org/officeDocument/2006/relationships/worksheet" Target="/xl/worksheets/sheet36.xml" Id="Rc38dc2ef3720463e" /><ns0:Relationship Type="http://schemas.openxmlformats.org/officeDocument/2006/relationships/worksheet" Target="/xl/worksheets/sheet37.xml" Id="R1fe8a6d6436245af" /><ns0:Relationship Type="http://schemas.openxmlformats.org/officeDocument/2006/relationships/worksheet" Target="/xl/worksheets/sheet38.xml" Id="R519e6ed2f6be4be8" /><ns0:Relationship Type="http://schemas.openxmlformats.org/officeDocument/2006/relationships/worksheet" Target="/xl/worksheets/sheet39.xml" Id="R6f6ca35e2cc34e7a" /><ns0:Relationship Type="http://schemas.openxmlformats.org/officeDocument/2006/relationships/worksheet" Target="/xl/worksheets/sheet40.xml" Id="R116caf1e9d73472b" /><ns0:Relationship Type="http://schemas.openxmlformats.org/officeDocument/2006/relationships/worksheet" Target="/xl/worksheets/sheet41.xml" Id="Rc9d2457689864cb1" /><ns0:Relationship Type="http://schemas.openxmlformats.org/officeDocument/2006/relationships/worksheet" Target="/xl/worksheets/sheet42.xml" Id="Rd906f1e55cbf4a19" /><ns0:Relationship Type="http://schemas.openxmlformats.org/officeDocument/2006/relationships/worksheet" Target="/xl/worksheets/sheet43.xml" Id="R4faf42bf748e4cce" /><ns0:Relationship Type="http://schemas.openxmlformats.org/officeDocument/2006/relationships/worksheet" Target="/xl/worksheets/sheet44.xml" Id="Rad9f848ec0dc4b46" /><ns0:Relationship Type="http://schemas.openxmlformats.org/officeDocument/2006/relationships/worksheet" Target="/xl/worksheets/sheet45.xml" Id="R74fc425b22e94ad3" /><ns0:Relationship Type="http://schemas.openxmlformats.org/officeDocument/2006/relationships/worksheet" Target="/xl/worksheets/sheet46.xml" Id="R87a419c740344d4d" /><ns0:Relationship Type="http://schemas.openxmlformats.org/officeDocument/2006/relationships/worksheet" Target="/xl/worksheets/sheet47.xml" Id="R830327e97f9844a2" /><ns0:Relationship Type="http://schemas.openxmlformats.org/officeDocument/2006/relationships/worksheet" Target="/xl/worksheets/sheet48.xml" Id="R73810f3223c548ec" /><ns0:Relationship Type="http://schemas.openxmlformats.org/officeDocument/2006/relationships/worksheet" Target="/xl/worksheets/sheet49.xml" Id="R7bcafacbcb904f45" /></ns0: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3ef43ea66824c7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85725</xdr:rowOff>
    </xdr:from>
    <xdr:ext cx="2133600" cy="6953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f43ea6682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'1.0' encoding='utf-8'?>
<ns0:Relationships xmlns:ns0="http://schemas.openxmlformats.org/package/2006/relationships"><ns0:Relationship Type="http://schemas.openxmlformats.org/officeDocument/2006/relationships/drawing" Target="/xl/drawings/drawing1.xml" Id="Rccf4df1723484a36" /></ns0: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.125" style="126" customWidth="1"/>
    <x:col min="2" max="2" width="10" style="99" customWidth="1"/>
    <x:col min="3" max="3" width="14.375" style="99" customWidth="1"/>
    <x:col min="4" max="4" width="8" style="99" customWidth="1"/>
    <x:col min="5" max="5" width="38" style="99" customWidth="1"/>
    <x:col min="6" max="6" width="48.125" style="99" customWidth="1"/>
    <x:col min="7" max="256" width="9" style="99" customWidth="0"/>
    <x:col min="257" max="257" width="28.125" style="99" customWidth="1"/>
    <x:col min="258" max="258" width="10" style="99" customWidth="1"/>
    <x:col min="259" max="259" width="14.375" style="99" customWidth="1"/>
    <x:col min="260" max="260" width="8" style="99" customWidth="1"/>
    <x:col min="261" max="261" width="38" style="99" customWidth="1"/>
    <x:col min="262" max="262" width="48.125" style="99" customWidth="1"/>
    <x:col min="263" max="512" width="9" style="99" customWidth="0"/>
    <x:col min="513" max="513" width="28.125" style="99" customWidth="1"/>
    <x:col min="514" max="514" width="10" style="99" customWidth="1"/>
    <x:col min="515" max="515" width="14.375" style="99" customWidth="1"/>
    <x:col min="516" max="516" width="8" style="99" customWidth="1"/>
    <x:col min="517" max="517" width="38" style="99" customWidth="1"/>
    <x:col min="518" max="518" width="48.125" style="99" customWidth="1"/>
    <x:col min="519" max="768" width="9" style="99" customWidth="0"/>
    <x:col min="769" max="769" width="28.125" style="99" customWidth="1"/>
    <x:col min="770" max="770" width="10" style="99" customWidth="1"/>
    <x:col min="771" max="771" width="14.375" style="99" customWidth="1"/>
    <x:col min="772" max="772" width="8" style="99" customWidth="1"/>
    <x:col min="773" max="773" width="38" style="99" customWidth="1"/>
    <x:col min="774" max="774" width="48.125" style="99" customWidth="1"/>
    <x:col min="775" max="1024" width="9" style="99" customWidth="0"/>
    <x:col min="1025" max="1025" width="28.125" style="99" customWidth="1"/>
    <x:col min="1026" max="1026" width="10" style="99" customWidth="1"/>
    <x:col min="1027" max="1027" width="14.375" style="99" customWidth="1"/>
    <x:col min="1028" max="1028" width="8" style="99" customWidth="1"/>
    <x:col min="1029" max="1029" width="38" style="99" customWidth="1"/>
    <x:col min="1030" max="1030" width="48.125" style="99" customWidth="1"/>
    <x:col min="1031" max="1280" width="9" style="99" customWidth="0"/>
    <x:col min="1281" max="1281" width="28.125" style="99" customWidth="1"/>
    <x:col min="1282" max="1282" width="10" style="99" customWidth="1"/>
    <x:col min="1283" max="1283" width="14.375" style="99" customWidth="1"/>
    <x:col min="1284" max="1284" width="8" style="99" customWidth="1"/>
    <x:col min="1285" max="1285" width="38" style="99" customWidth="1"/>
    <x:col min="1286" max="1286" width="48.125" style="99" customWidth="1"/>
    <x:col min="1287" max="1536" width="9" style="99" customWidth="0"/>
    <x:col min="1537" max="1537" width="28.125" style="99" customWidth="1"/>
    <x:col min="1538" max="1538" width="10" style="99" customWidth="1"/>
    <x:col min="1539" max="1539" width="14.375" style="99" customWidth="1"/>
    <x:col min="1540" max="1540" width="8" style="99" customWidth="1"/>
    <x:col min="1541" max="1541" width="38" style="99" customWidth="1"/>
    <x:col min="1542" max="1542" width="48.125" style="99" customWidth="1"/>
    <x:col min="1543" max="1792" width="9" style="99" customWidth="0"/>
    <x:col min="1793" max="1793" width="28.125" style="99" customWidth="1"/>
    <x:col min="1794" max="1794" width="10" style="99" customWidth="1"/>
    <x:col min="1795" max="1795" width="14.375" style="99" customWidth="1"/>
    <x:col min="1796" max="1796" width="8" style="99" customWidth="1"/>
    <x:col min="1797" max="1797" width="38" style="99" customWidth="1"/>
    <x:col min="1798" max="1798" width="48.125" style="99" customWidth="1"/>
    <x:col min="1799" max="2048" width="9" style="99" customWidth="0"/>
    <x:col min="2049" max="2049" width="28.125" style="99" customWidth="1"/>
    <x:col min="2050" max="2050" width="10" style="99" customWidth="1"/>
    <x:col min="2051" max="2051" width="14.375" style="99" customWidth="1"/>
    <x:col min="2052" max="2052" width="8" style="99" customWidth="1"/>
    <x:col min="2053" max="2053" width="38" style="99" customWidth="1"/>
    <x:col min="2054" max="2054" width="48.125" style="99" customWidth="1"/>
    <x:col min="2055" max="2304" width="9" style="99" customWidth="0"/>
    <x:col min="2305" max="2305" width="28.125" style="99" customWidth="1"/>
    <x:col min="2306" max="2306" width="10" style="99" customWidth="1"/>
    <x:col min="2307" max="2307" width="14.375" style="99" customWidth="1"/>
    <x:col min="2308" max="2308" width="8" style="99" customWidth="1"/>
    <x:col min="2309" max="2309" width="38" style="99" customWidth="1"/>
    <x:col min="2310" max="2310" width="48.125" style="99" customWidth="1"/>
    <x:col min="2311" max="2560" width="9" style="99" customWidth="0"/>
    <x:col min="2561" max="2561" width="28.125" style="99" customWidth="1"/>
    <x:col min="2562" max="2562" width="10" style="99" customWidth="1"/>
    <x:col min="2563" max="2563" width="14.375" style="99" customWidth="1"/>
    <x:col min="2564" max="2564" width="8" style="99" customWidth="1"/>
    <x:col min="2565" max="2565" width="38" style="99" customWidth="1"/>
    <x:col min="2566" max="2566" width="48.125" style="99" customWidth="1"/>
    <x:col min="2567" max="2816" width="9" style="99" customWidth="0"/>
    <x:col min="2817" max="2817" width="28.125" style="99" customWidth="1"/>
    <x:col min="2818" max="2818" width="10" style="99" customWidth="1"/>
    <x:col min="2819" max="2819" width="14.375" style="99" customWidth="1"/>
    <x:col min="2820" max="2820" width="8" style="99" customWidth="1"/>
    <x:col min="2821" max="2821" width="38" style="99" customWidth="1"/>
    <x:col min="2822" max="2822" width="48.125" style="99" customWidth="1"/>
    <x:col min="2823" max="3072" width="9" style="99" customWidth="0"/>
    <x:col min="3073" max="3073" width="28.125" style="99" customWidth="1"/>
    <x:col min="3074" max="3074" width="10" style="99" customWidth="1"/>
    <x:col min="3075" max="3075" width="14.375" style="99" customWidth="1"/>
    <x:col min="3076" max="3076" width="8" style="99" customWidth="1"/>
    <x:col min="3077" max="3077" width="38" style="99" customWidth="1"/>
    <x:col min="3078" max="3078" width="48.125" style="99" customWidth="1"/>
    <x:col min="3079" max="3328" width="9" style="99" customWidth="0"/>
    <x:col min="3329" max="3329" width="28.125" style="99" customWidth="1"/>
    <x:col min="3330" max="3330" width="10" style="99" customWidth="1"/>
    <x:col min="3331" max="3331" width="14.375" style="99" customWidth="1"/>
    <x:col min="3332" max="3332" width="8" style="99" customWidth="1"/>
    <x:col min="3333" max="3333" width="38" style="99" customWidth="1"/>
    <x:col min="3334" max="3334" width="48.125" style="99" customWidth="1"/>
    <x:col min="3335" max="3584" width="9" style="99" customWidth="0"/>
    <x:col min="3585" max="3585" width="28.125" style="99" customWidth="1"/>
    <x:col min="3586" max="3586" width="10" style="99" customWidth="1"/>
    <x:col min="3587" max="3587" width="14.375" style="99" customWidth="1"/>
    <x:col min="3588" max="3588" width="8" style="99" customWidth="1"/>
    <x:col min="3589" max="3589" width="38" style="99" customWidth="1"/>
    <x:col min="3590" max="3590" width="48.125" style="99" customWidth="1"/>
    <x:col min="3591" max="3840" width="9" style="99" customWidth="0"/>
    <x:col min="3841" max="3841" width="28.125" style="99" customWidth="1"/>
    <x:col min="3842" max="3842" width="10" style="99" customWidth="1"/>
    <x:col min="3843" max="3843" width="14.375" style="99" customWidth="1"/>
    <x:col min="3844" max="3844" width="8" style="99" customWidth="1"/>
    <x:col min="3845" max="3845" width="38" style="99" customWidth="1"/>
    <x:col min="3846" max="3846" width="48.125" style="99" customWidth="1"/>
    <x:col min="3847" max="4096" width="9" style="99" customWidth="0"/>
    <x:col min="4097" max="4097" width="28.125" style="99" customWidth="1"/>
    <x:col min="4098" max="4098" width="10" style="99" customWidth="1"/>
    <x:col min="4099" max="4099" width="14.375" style="99" customWidth="1"/>
    <x:col min="4100" max="4100" width="8" style="99" customWidth="1"/>
    <x:col min="4101" max="4101" width="38" style="99" customWidth="1"/>
    <x:col min="4102" max="4102" width="48.125" style="99" customWidth="1"/>
    <x:col min="4103" max="4352" width="9" style="99" customWidth="0"/>
    <x:col min="4353" max="4353" width="28.125" style="99" customWidth="1"/>
    <x:col min="4354" max="4354" width="10" style="99" customWidth="1"/>
    <x:col min="4355" max="4355" width="14.375" style="99" customWidth="1"/>
    <x:col min="4356" max="4356" width="8" style="99" customWidth="1"/>
    <x:col min="4357" max="4357" width="38" style="99" customWidth="1"/>
    <x:col min="4358" max="4358" width="48.125" style="99" customWidth="1"/>
    <x:col min="4359" max="4608" width="9" style="99" customWidth="0"/>
    <x:col min="4609" max="4609" width="28.125" style="99" customWidth="1"/>
    <x:col min="4610" max="4610" width="10" style="99" customWidth="1"/>
    <x:col min="4611" max="4611" width="14.375" style="99" customWidth="1"/>
    <x:col min="4612" max="4612" width="8" style="99" customWidth="1"/>
    <x:col min="4613" max="4613" width="38" style="99" customWidth="1"/>
    <x:col min="4614" max="4614" width="48.125" style="99" customWidth="1"/>
    <x:col min="4615" max="4864" width="9" style="99" customWidth="0"/>
    <x:col min="4865" max="4865" width="28.125" style="99" customWidth="1"/>
    <x:col min="4866" max="4866" width="10" style="99" customWidth="1"/>
    <x:col min="4867" max="4867" width="14.375" style="99" customWidth="1"/>
    <x:col min="4868" max="4868" width="8" style="99" customWidth="1"/>
    <x:col min="4869" max="4869" width="38" style="99" customWidth="1"/>
    <x:col min="4870" max="4870" width="48.125" style="99" customWidth="1"/>
    <x:col min="4871" max="5120" width="9" style="99" customWidth="0"/>
    <x:col min="5121" max="5121" width="28.125" style="99" customWidth="1"/>
    <x:col min="5122" max="5122" width="10" style="99" customWidth="1"/>
    <x:col min="5123" max="5123" width="14.375" style="99" customWidth="1"/>
    <x:col min="5124" max="5124" width="8" style="99" customWidth="1"/>
    <x:col min="5125" max="5125" width="38" style="99" customWidth="1"/>
    <x:col min="5126" max="5126" width="48.125" style="99" customWidth="1"/>
    <x:col min="5127" max="5376" width="9" style="99" customWidth="0"/>
    <x:col min="5377" max="5377" width="28.125" style="99" customWidth="1"/>
    <x:col min="5378" max="5378" width="10" style="99" customWidth="1"/>
    <x:col min="5379" max="5379" width="14.375" style="99" customWidth="1"/>
    <x:col min="5380" max="5380" width="8" style="99" customWidth="1"/>
    <x:col min="5381" max="5381" width="38" style="99" customWidth="1"/>
    <x:col min="5382" max="5382" width="48.125" style="99" customWidth="1"/>
    <x:col min="5383" max="5632" width="9" style="99" customWidth="0"/>
    <x:col min="5633" max="5633" width="28.125" style="99" customWidth="1"/>
    <x:col min="5634" max="5634" width="10" style="99" customWidth="1"/>
    <x:col min="5635" max="5635" width="14.375" style="99" customWidth="1"/>
    <x:col min="5636" max="5636" width="8" style="99" customWidth="1"/>
    <x:col min="5637" max="5637" width="38" style="99" customWidth="1"/>
    <x:col min="5638" max="5638" width="48.125" style="99" customWidth="1"/>
    <x:col min="5639" max="5888" width="9" style="99" customWidth="0"/>
    <x:col min="5889" max="5889" width="28.125" style="99" customWidth="1"/>
    <x:col min="5890" max="5890" width="10" style="99" customWidth="1"/>
    <x:col min="5891" max="5891" width="14.375" style="99" customWidth="1"/>
    <x:col min="5892" max="5892" width="8" style="99" customWidth="1"/>
    <x:col min="5893" max="5893" width="38" style="99" customWidth="1"/>
    <x:col min="5894" max="5894" width="48.125" style="99" customWidth="1"/>
    <x:col min="5895" max="6144" width="9" style="99" customWidth="0"/>
    <x:col min="6145" max="6145" width="28.125" style="99" customWidth="1"/>
    <x:col min="6146" max="6146" width="10" style="99" customWidth="1"/>
    <x:col min="6147" max="6147" width="14.375" style="99" customWidth="1"/>
    <x:col min="6148" max="6148" width="8" style="99" customWidth="1"/>
    <x:col min="6149" max="6149" width="38" style="99" customWidth="1"/>
    <x:col min="6150" max="6150" width="48.125" style="99" customWidth="1"/>
    <x:col min="6151" max="6400" width="9" style="99" customWidth="0"/>
    <x:col min="6401" max="6401" width="28.125" style="99" customWidth="1"/>
    <x:col min="6402" max="6402" width="10" style="99" customWidth="1"/>
    <x:col min="6403" max="6403" width="14.375" style="99" customWidth="1"/>
    <x:col min="6404" max="6404" width="8" style="99" customWidth="1"/>
    <x:col min="6405" max="6405" width="38" style="99" customWidth="1"/>
    <x:col min="6406" max="6406" width="48.125" style="99" customWidth="1"/>
    <x:col min="6407" max="6656" width="9" style="99" customWidth="0"/>
    <x:col min="6657" max="6657" width="28.125" style="99" customWidth="1"/>
    <x:col min="6658" max="6658" width="10" style="99" customWidth="1"/>
    <x:col min="6659" max="6659" width="14.375" style="99" customWidth="1"/>
    <x:col min="6660" max="6660" width="8" style="99" customWidth="1"/>
    <x:col min="6661" max="6661" width="38" style="99" customWidth="1"/>
    <x:col min="6662" max="6662" width="48.125" style="99" customWidth="1"/>
    <x:col min="6663" max="6912" width="9" style="99" customWidth="0"/>
    <x:col min="6913" max="6913" width="28.125" style="99" customWidth="1"/>
    <x:col min="6914" max="6914" width="10" style="99" customWidth="1"/>
    <x:col min="6915" max="6915" width="14.375" style="99" customWidth="1"/>
    <x:col min="6916" max="6916" width="8" style="99" customWidth="1"/>
    <x:col min="6917" max="6917" width="38" style="99" customWidth="1"/>
    <x:col min="6918" max="6918" width="48.125" style="99" customWidth="1"/>
    <x:col min="6919" max="7168" width="9" style="99" customWidth="0"/>
    <x:col min="7169" max="7169" width="28.125" style="99" customWidth="1"/>
    <x:col min="7170" max="7170" width="10" style="99" customWidth="1"/>
    <x:col min="7171" max="7171" width="14.375" style="99" customWidth="1"/>
    <x:col min="7172" max="7172" width="8" style="99" customWidth="1"/>
    <x:col min="7173" max="7173" width="38" style="99" customWidth="1"/>
    <x:col min="7174" max="7174" width="48.125" style="99" customWidth="1"/>
    <x:col min="7175" max="7424" width="9" style="99" customWidth="0"/>
    <x:col min="7425" max="7425" width="28.125" style="99" customWidth="1"/>
    <x:col min="7426" max="7426" width="10" style="99" customWidth="1"/>
    <x:col min="7427" max="7427" width="14.375" style="99" customWidth="1"/>
    <x:col min="7428" max="7428" width="8" style="99" customWidth="1"/>
    <x:col min="7429" max="7429" width="38" style="99" customWidth="1"/>
    <x:col min="7430" max="7430" width="48.125" style="99" customWidth="1"/>
    <x:col min="7431" max="7680" width="9" style="99" customWidth="0"/>
    <x:col min="7681" max="7681" width="28.125" style="99" customWidth="1"/>
    <x:col min="7682" max="7682" width="10" style="99" customWidth="1"/>
    <x:col min="7683" max="7683" width="14.375" style="99" customWidth="1"/>
    <x:col min="7684" max="7684" width="8" style="99" customWidth="1"/>
    <x:col min="7685" max="7685" width="38" style="99" customWidth="1"/>
    <x:col min="7686" max="7686" width="48.125" style="99" customWidth="1"/>
    <x:col min="7687" max="7936" width="9" style="99" customWidth="0"/>
    <x:col min="7937" max="7937" width="28.125" style="99" customWidth="1"/>
    <x:col min="7938" max="7938" width="10" style="99" customWidth="1"/>
    <x:col min="7939" max="7939" width="14.375" style="99" customWidth="1"/>
    <x:col min="7940" max="7940" width="8" style="99" customWidth="1"/>
    <x:col min="7941" max="7941" width="38" style="99" customWidth="1"/>
    <x:col min="7942" max="7942" width="48.125" style="99" customWidth="1"/>
    <x:col min="7943" max="8192" width="9" style="99" customWidth="0"/>
    <x:col min="8193" max="8193" width="28.125" style="99" customWidth="1"/>
    <x:col min="8194" max="8194" width="10" style="99" customWidth="1"/>
    <x:col min="8195" max="8195" width="14.375" style="99" customWidth="1"/>
    <x:col min="8196" max="8196" width="8" style="99" customWidth="1"/>
    <x:col min="8197" max="8197" width="38" style="99" customWidth="1"/>
    <x:col min="8198" max="8198" width="48.125" style="99" customWidth="1"/>
    <x:col min="8199" max="8448" width="9" style="99" customWidth="0"/>
    <x:col min="8449" max="8449" width="28.125" style="99" customWidth="1"/>
    <x:col min="8450" max="8450" width="10" style="99" customWidth="1"/>
    <x:col min="8451" max="8451" width="14.375" style="99" customWidth="1"/>
    <x:col min="8452" max="8452" width="8" style="99" customWidth="1"/>
    <x:col min="8453" max="8453" width="38" style="99" customWidth="1"/>
    <x:col min="8454" max="8454" width="48.125" style="99" customWidth="1"/>
    <x:col min="8455" max="8704" width="9" style="99" customWidth="0"/>
    <x:col min="8705" max="8705" width="28.125" style="99" customWidth="1"/>
    <x:col min="8706" max="8706" width="10" style="99" customWidth="1"/>
    <x:col min="8707" max="8707" width="14.375" style="99" customWidth="1"/>
    <x:col min="8708" max="8708" width="8" style="99" customWidth="1"/>
    <x:col min="8709" max="8709" width="38" style="99" customWidth="1"/>
    <x:col min="8710" max="8710" width="48.125" style="99" customWidth="1"/>
    <x:col min="8711" max="8960" width="9" style="99" customWidth="0"/>
    <x:col min="8961" max="8961" width="28.125" style="99" customWidth="1"/>
    <x:col min="8962" max="8962" width="10" style="99" customWidth="1"/>
    <x:col min="8963" max="8963" width="14.375" style="99" customWidth="1"/>
    <x:col min="8964" max="8964" width="8" style="99" customWidth="1"/>
    <x:col min="8965" max="8965" width="38" style="99" customWidth="1"/>
    <x:col min="8966" max="8966" width="48.125" style="99" customWidth="1"/>
    <x:col min="8967" max="9216" width="9" style="99" customWidth="0"/>
    <x:col min="9217" max="9217" width="28.125" style="99" customWidth="1"/>
    <x:col min="9218" max="9218" width="10" style="99" customWidth="1"/>
    <x:col min="9219" max="9219" width="14.375" style="99" customWidth="1"/>
    <x:col min="9220" max="9220" width="8" style="99" customWidth="1"/>
    <x:col min="9221" max="9221" width="38" style="99" customWidth="1"/>
    <x:col min="9222" max="9222" width="48.125" style="99" customWidth="1"/>
    <x:col min="9223" max="9472" width="9" style="99" customWidth="0"/>
    <x:col min="9473" max="9473" width="28.125" style="99" customWidth="1"/>
    <x:col min="9474" max="9474" width="10" style="99" customWidth="1"/>
    <x:col min="9475" max="9475" width="14.375" style="99" customWidth="1"/>
    <x:col min="9476" max="9476" width="8" style="99" customWidth="1"/>
    <x:col min="9477" max="9477" width="38" style="99" customWidth="1"/>
    <x:col min="9478" max="9478" width="48.125" style="99" customWidth="1"/>
    <x:col min="9479" max="9728" width="9" style="99" customWidth="0"/>
    <x:col min="9729" max="9729" width="28.125" style="99" customWidth="1"/>
    <x:col min="9730" max="9730" width="10" style="99" customWidth="1"/>
    <x:col min="9731" max="9731" width="14.375" style="99" customWidth="1"/>
    <x:col min="9732" max="9732" width="8" style="99" customWidth="1"/>
    <x:col min="9733" max="9733" width="38" style="99" customWidth="1"/>
    <x:col min="9734" max="9734" width="48.125" style="99" customWidth="1"/>
    <x:col min="9735" max="9984" width="9" style="99" customWidth="0"/>
    <x:col min="9985" max="9985" width="28.125" style="99" customWidth="1"/>
    <x:col min="9986" max="9986" width="10" style="99" customWidth="1"/>
    <x:col min="9987" max="9987" width="14.375" style="99" customWidth="1"/>
    <x:col min="9988" max="9988" width="8" style="99" customWidth="1"/>
    <x:col min="9989" max="9989" width="38" style="99" customWidth="1"/>
    <x:col min="9990" max="9990" width="48.125" style="99" customWidth="1"/>
    <x:col min="9991" max="10240" width="9" style="99" customWidth="0"/>
    <x:col min="10241" max="10241" width="28.125" style="99" customWidth="1"/>
    <x:col min="10242" max="10242" width="10" style="99" customWidth="1"/>
    <x:col min="10243" max="10243" width="14.375" style="99" customWidth="1"/>
    <x:col min="10244" max="10244" width="8" style="99" customWidth="1"/>
    <x:col min="10245" max="10245" width="38" style="99" customWidth="1"/>
    <x:col min="10246" max="10246" width="48.125" style="99" customWidth="1"/>
    <x:col min="10247" max="10496" width="9" style="99" customWidth="0"/>
    <x:col min="10497" max="10497" width="28.125" style="99" customWidth="1"/>
    <x:col min="10498" max="10498" width="10" style="99" customWidth="1"/>
    <x:col min="10499" max="10499" width="14.375" style="99" customWidth="1"/>
    <x:col min="10500" max="10500" width="8" style="99" customWidth="1"/>
    <x:col min="10501" max="10501" width="38" style="99" customWidth="1"/>
    <x:col min="10502" max="10502" width="48.125" style="99" customWidth="1"/>
    <x:col min="10503" max="10752" width="9" style="99" customWidth="0"/>
    <x:col min="10753" max="10753" width="28.125" style="99" customWidth="1"/>
    <x:col min="10754" max="10754" width="10" style="99" customWidth="1"/>
    <x:col min="10755" max="10755" width="14.375" style="99" customWidth="1"/>
    <x:col min="10756" max="10756" width="8" style="99" customWidth="1"/>
    <x:col min="10757" max="10757" width="38" style="99" customWidth="1"/>
    <x:col min="10758" max="10758" width="48.125" style="99" customWidth="1"/>
    <x:col min="10759" max="11008" width="9" style="99" customWidth="0"/>
    <x:col min="11009" max="11009" width="28.125" style="99" customWidth="1"/>
    <x:col min="11010" max="11010" width="10" style="99" customWidth="1"/>
    <x:col min="11011" max="11011" width="14.375" style="99" customWidth="1"/>
    <x:col min="11012" max="11012" width="8" style="99" customWidth="1"/>
    <x:col min="11013" max="11013" width="38" style="99" customWidth="1"/>
    <x:col min="11014" max="11014" width="48.125" style="99" customWidth="1"/>
    <x:col min="11015" max="11264" width="9" style="99" customWidth="0"/>
    <x:col min="11265" max="11265" width="28.125" style="99" customWidth="1"/>
    <x:col min="11266" max="11266" width="10" style="99" customWidth="1"/>
    <x:col min="11267" max="11267" width="14.375" style="99" customWidth="1"/>
    <x:col min="11268" max="11268" width="8" style="99" customWidth="1"/>
    <x:col min="11269" max="11269" width="38" style="99" customWidth="1"/>
    <x:col min="11270" max="11270" width="48.125" style="99" customWidth="1"/>
    <x:col min="11271" max="11520" width="9" style="99" customWidth="0"/>
    <x:col min="11521" max="11521" width="28.125" style="99" customWidth="1"/>
    <x:col min="11522" max="11522" width="10" style="99" customWidth="1"/>
    <x:col min="11523" max="11523" width="14.375" style="99" customWidth="1"/>
    <x:col min="11524" max="11524" width="8" style="99" customWidth="1"/>
    <x:col min="11525" max="11525" width="38" style="99" customWidth="1"/>
    <x:col min="11526" max="11526" width="48.125" style="99" customWidth="1"/>
    <x:col min="11527" max="11776" width="9" style="99" customWidth="0"/>
    <x:col min="11777" max="11777" width="28.125" style="99" customWidth="1"/>
    <x:col min="11778" max="11778" width="10" style="99" customWidth="1"/>
    <x:col min="11779" max="11779" width="14.375" style="99" customWidth="1"/>
    <x:col min="11780" max="11780" width="8" style="99" customWidth="1"/>
    <x:col min="11781" max="11781" width="38" style="99" customWidth="1"/>
    <x:col min="11782" max="11782" width="48.125" style="99" customWidth="1"/>
    <x:col min="11783" max="12032" width="9" style="99" customWidth="0"/>
    <x:col min="12033" max="12033" width="28.125" style="99" customWidth="1"/>
    <x:col min="12034" max="12034" width="10" style="99" customWidth="1"/>
    <x:col min="12035" max="12035" width="14.375" style="99" customWidth="1"/>
    <x:col min="12036" max="12036" width="8" style="99" customWidth="1"/>
    <x:col min="12037" max="12037" width="38" style="99" customWidth="1"/>
    <x:col min="12038" max="12038" width="48.125" style="99" customWidth="1"/>
    <x:col min="12039" max="12288" width="9" style="99" customWidth="0"/>
    <x:col min="12289" max="12289" width="28.125" style="99" customWidth="1"/>
    <x:col min="12290" max="12290" width="10" style="99" customWidth="1"/>
    <x:col min="12291" max="12291" width="14.375" style="99" customWidth="1"/>
    <x:col min="12292" max="12292" width="8" style="99" customWidth="1"/>
    <x:col min="12293" max="12293" width="38" style="99" customWidth="1"/>
    <x:col min="12294" max="12294" width="48.125" style="99" customWidth="1"/>
    <x:col min="12295" max="12544" width="9" style="99" customWidth="0"/>
    <x:col min="12545" max="12545" width="28.125" style="99" customWidth="1"/>
    <x:col min="12546" max="12546" width="10" style="99" customWidth="1"/>
    <x:col min="12547" max="12547" width="14.375" style="99" customWidth="1"/>
    <x:col min="12548" max="12548" width="8" style="99" customWidth="1"/>
    <x:col min="12549" max="12549" width="38" style="99" customWidth="1"/>
    <x:col min="12550" max="12550" width="48.125" style="99" customWidth="1"/>
    <x:col min="12551" max="12800" width="9" style="99" customWidth="0"/>
    <x:col min="12801" max="12801" width="28.125" style="99" customWidth="1"/>
    <x:col min="12802" max="12802" width="10" style="99" customWidth="1"/>
    <x:col min="12803" max="12803" width="14.375" style="99" customWidth="1"/>
    <x:col min="12804" max="12804" width="8" style="99" customWidth="1"/>
    <x:col min="12805" max="12805" width="38" style="99" customWidth="1"/>
    <x:col min="12806" max="12806" width="48.125" style="99" customWidth="1"/>
    <x:col min="12807" max="13056" width="9" style="99" customWidth="0"/>
    <x:col min="13057" max="13057" width="28.125" style="99" customWidth="1"/>
    <x:col min="13058" max="13058" width="10" style="99" customWidth="1"/>
    <x:col min="13059" max="13059" width="14.375" style="99" customWidth="1"/>
    <x:col min="13060" max="13060" width="8" style="99" customWidth="1"/>
    <x:col min="13061" max="13061" width="38" style="99" customWidth="1"/>
    <x:col min="13062" max="13062" width="48.125" style="99" customWidth="1"/>
    <x:col min="13063" max="13312" width="9" style="99" customWidth="0"/>
    <x:col min="13313" max="13313" width="28.125" style="99" customWidth="1"/>
    <x:col min="13314" max="13314" width="10" style="99" customWidth="1"/>
    <x:col min="13315" max="13315" width="14.375" style="99" customWidth="1"/>
    <x:col min="13316" max="13316" width="8" style="99" customWidth="1"/>
    <x:col min="13317" max="13317" width="38" style="99" customWidth="1"/>
    <x:col min="13318" max="13318" width="48.125" style="99" customWidth="1"/>
    <x:col min="13319" max="13568" width="9" style="99" customWidth="0"/>
    <x:col min="13569" max="13569" width="28.125" style="99" customWidth="1"/>
    <x:col min="13570" max="13570" width="10" style="99" customWidth="1"/>
    <x:col min="13571" max="13571" width="14.375" style="99" customWidth="1"/>
    <x:col min="13572" max="13572" width="8" style="99" customWidth="1"/>
    <x:col min="13573" max="13573" width="38" style="99" customWidth="1"/>
    <x:col min="13574" max="13574" width="48.125" style="99" customWidth="1"/>
    <x:col min="13575" max="13824" width="9" style="99" customWidth="0"/>
    <x:col min="13825" max="13825" width="28.125" style="99" customWidth="1"/>
    <x:col min="13826" max="13826" width="10" style="99" customWidth="1"/>
    <x:col min="13827" max="13827" width="14.375" style="99" customWidth="1"/>
    <x:col min="13828" max="13828" width="8" style="99" customWidth="1"/>
    <x:col min="13829" max="13829" width="38" style="99" customWidth="1"/>
    <x:col min="13830" max="13830" width="48.125" style="99" customWidth="1"/>
    <x:col min="13831" max="14080" width="9" style="99" customWidth="0"/>
    <x:col min="14081" max="14081" width="28.125" style="99" customWidth="1"/>
    <x:col min="14082" max="14082" width="10" style="99" customWidth="1"/>
    <x:col min="14083" max="14083" width="14.375" style="99" customWidth="1"/>
    <x:col min="14084" max="14084" width="8" style="99" customWidth="1"/>
    <x:col min="14085" max="14085" width="38" style="99" customWidth="1"/>
    <x:col min="14086" max="14086" width="48.125" style="99" customWidth="1"/>
    <x:col min="14087" max="14336" width="9" style="99" customWidth="0"/>
    <x:col min="14337" max="14337" width="28.125" style="99" customWidth="1"/>
    <x:col min="14338" max="14338" width="10" style="99" customWidth="1"/>
    <x:col min="14339" max="14339" width="14.375" style="99" customWidth="1"/>
    <x:col min="14340" max="14340" width="8" style="99" customWidth="1"/>
    <x:col min="14341" max="14341" width="38" style="99" customWidth="1"/>
    <x:col min="14342" max="14342" width="48.125" style="99" customWidth="1"/>
    <x:col min="14343" max="14592" width="9" style="99" customWidth="0"/>
    <x:col min="14593" max="14593" width="28.125" style="99" customWidth="1"/>
    <x:col min="14594" max="14594" width="10" style="99" customWidth="1"/>
    <x:col min="14595" max="14595" width="14.375" style="99" customWidth="1"/>
    <x:col min="14596" max="14596" width="8" style="99" customWidth="1"/>
    <x:col min="14597" max="14597" width="38" style="99" customWidth="1"/>
    <x:col min="14598" max="14598" width="48.125" style="99" customWidth="1"/>
    <x:col min="14599" max="14848" width="9" style="99" customWidth="0"/>
    <x:col min="14849" max="14849" width="28.125" style="99" customWidth="1"/>
    <x:col min="14850" max="14850" width="10" style="99" customWidth="1"/>
    <x:col min="14851" max="14851" width="14.375" style="99" customWidth="1"/>
    <x:col min="14852" max="14852" width="8" style="99" customWidth="1"/>
    <x:col min="14853" max="14853" width="38" style="99" customWidth="1"/>
    <x:col min="14854" max="14854" width="48.125" style="99" customWidth="1"/>
    <x:col min="14855" max="15104" width="9" style="99" customWidth="0"/>
    <x:col min="15105" max="15105" width="28.125" style="99" customWidth="1"/>
    <x:col min="15106" max="15106" width="10" style="99" customWidth="1"/>
    <x:col min="15107" max="15107" width="14.375" style="99" customWidth="1"/>
    <x:col min="15108" max="15108" width="8" style="99" customWidth="1"/>
    <x:col min="15109" max="15109" width="38" style="99" customWidth="1"/>
    <x:col min="15110" max="15110" width="48.125" style="99" customWidth="1"/>
    <x:col min="15111" max="15360" width="9" style="99" customWidth="0"/>
    <x:col min="15361" max="15361" width="28.125" style="99" customWidth="1"/>
    <x:col min="15362" max="15362" width="10" style="99" customWidth="1"/>
    <x:col min="15363" max="15363" width="14.375" style="99" customWidth="1"/>
    <x:col min="15364" max="15364" width="8" style="99" customWidth="1"/>
    <x:col min="15365" max="15365" width="38" style="99" customWidth="1"/>
    <x:col min="15366" max="15366" width="48.125" style="99" customWidth="1"/>
    <x:col min="15367" max="15616" width="9" style="99" customWidth="0"/>
    <x:col min="15617" max="15617" width="28.125" style="99" customWidth="1"/>
    <x:col min="15618" max="15618" width="10" style="99" customWidth="1"/>
    <x:col min="15619" max="15619" width="14.375" style="99" customWidth="1"/>
    <x:col min="15620" max="15620" width="8" style="99" customWidth="1"/>
    <x:col min="15621" max="15621" width="38" style="99" customWidth="1"/>
    <x:col min="15622" max="15622" width="48.125" style="99" customWidth="1"/>
    <x:col min="15623" max="15872" width="9" style="99" customWidth="0"/>
    <x:col min="15873" max="15873" width="28.125" style="99" customWidth="1"/>
    <x:col min="15874" max="15874" width="10" style="99" customWidth="1"/>
    <x:col min="15875" max="15875" width="14.375" style="99" customWidth="1"/>
    <x:col min="15876" max="15876" width="8" style="99" customWidth="1"/>
    <x:col min="15877" max="15877" width="38" style="99" customWidth="1"/>
    <x:col min="15878" max="15878" width="48.125" style="99" customWidth="1"/>
    <x:col min="15879" max="16128" width="9" style="99" customWidth="0"/>
    <x:col min="16129" max="16129" width="28.125" style="99" customWidth="1"/>
    <x:col min="16130" max="16130" width="10" style="99" customWidth="1"/>
    <x:col min="16131" max="16131" width="14.375" style="99" customWidth="1"/>
    <x:col min="16132" max="16132" width="8" style="99" customWidth="1"/>
    <x:col min="16133" max="16133" width="38" style="99" customWidth="1"/>
    <x:col min="16134" max="16134" width="48.125" style="99" customWidth="1"/>
    <x:col min="16135" max="16384" width="9" style="99" customWidth="0"/>
  </x:cols>
  <x:sheetData>
    <x:row r="2" s="96" customFormat="1" ht="75.75" customHeight="1">
      <x:c r="A2" s="95"/>
      <x:c r="B2" s="156" t="s">
        <x:v>0</x:v>
      </x:c>
      <x:c r="C2" s="156"/>
      <x:c r="D2" s="156"/>
      <x:c r="E2" s="156"/>
      <x:c r="F2" s="156"/>
    </x:row>
    <x:row r="3">
      <x:c r="A3" s="97"/>
      <x:c r="B3" s="98"/>
      <x:c r="E3" s="100"/>
    </x:row>
    <x:row r="4" ht="14.25" customHeight="1">
      <x:c r="A4" s="101" t="s">
        <x:v>1</x:v>
      </x:c>
      <x:c r="B4" s="157" t="inlineStr">
        <x:is>
          <x:t xml:space="preserve">Clinic Management System</x:t>
        </x:is>
      </x:c>
      <x:c r="C4" s="157"/>
      <x:c r="D4" s="157"/>
      <x:c r="E4" s="101" t="s">
        <x:v>2</x:v>
      </x:c>
      <x:c r="F4" s="102"/>
    </x:row>
    <x:row r="5" ht="14.25" customHeight="1">
      <x:c r="A5" s="101" t="s">
        <x:v>3</x:v>
      </x:c>
      <x:c r="B5" s="157" t="inlineStr">
        <x:is>
          <x:t xml:space="preserve">CMS</x:t>
        </x:is>
      </x:c>
      <x:c r="C5" s="157"/>
      <x:c r="D5" s="157"/>
      <x:c r="E5" s="101" t="s">
        <x:v>4</x:v>
      </x:c>
      <x:c r="F5" s="103" t="inlineStr">
        <x:is>
          <x:t xml:space="preserve">2026-08-12</x:t>
        </x:is>
      </x:c>
    </x:row>
    <x:row r="6" ht="15.75" customHeight="1">
      <x:c r="A6" s="104" t="s">
        <x:v>5</x:v>
      </x:c>
      <x:c r="B6" s="158" t="str">
        <x:f>B5&amp;"_IntegrationTest_v1.0"</x:f>
        <x:v>CMS_IntegrationTest_v1.0</x:v>
      </x:c>
      <x:c r="C6" s="159"/>
      <x:c r="D6" s="160"/>
      <x:c r="E6" s="101" t="s">
        <x:v>6</x:v>
      </x:c>
      <x:c r="F6" s="103" t="inlineStr">
        <x:is>
          <x:t xml:space="preserve">v1.0</x:t>
        </x:is>
      </x:c>
    </x:row>
    <x:row r="7">
      <x:c r="A7" s="106"/>
      <x:c r="B7" s="107"/>
      <x:c r="E7" s="108"/>
      <x:c r="F7" s="98"/>
    </x:row>
    <x:row r="8">
      <x:c r="A8" s="99"/>
    </x:row>
    <x:row r="9">
      <x:c r="A9" s="109" t="s">
        <x:v>7</x:v>
      </x:c>
    </x:row>
    <x:row r="10" s="113" customFormat="1">
      <x:c r="A10" s="110" t="s">
        <x:v>8</x:v>
      </x:c>
      <x:c r="B10" s="111" t="s">
        <x:v>6</x:v>
      </x:c>
      <x:c r="C10" s="111" t="s">
        <x:v>9</x:v>
      </x:c>
      <x:c r="D10" s="111" t="s">
        <x:v>10</x:v>
      </x:c>
      <x:c r="E10" s="111" t="s">
        <x:v>11</x:v>
      </x:c>
      <x:c r="F10" s="112" t="s">
        <x:v>12</x:v>
      </x:c>
    </x:row>
    <x:row r="11" s="119" customFormat="1" ht="26.25" customHeight="1">
      <x:c r="A11" s="114" t="inlineStr">
        <x:is>
          <x:t xml:space="preserve">2026-08-12</x:t>
        </x:is>
      </x:c>
      <x:c r="B11" s="115" t="inlineStr">
        <x:is>
          <x:t xml:space="preserve">v1.0</x:t>
        </x:is>
      </x:c>
      <x:c r="C11" s="116" t="inlineStr">
        <x:is>
          <x:t xml:space="preserve">Initial sample</x:t>
        </x:is>
      </x:c>
      <x:c r="D11" s="116" t="inlineStr">
        <x:is>
          <x:t xml:space="preserve">A</x:t>
        </x:is>
      </x:c>
      <x:c r="E11" s="117" t="str">
        <x:v>Full English edition with concrete test data values.</x:v>
      </x:c>
      <x:c r="F11" s="118" t="inlineStr">
        <x:is>
          <x:t xml:space="preserve">Source code repository</x:t>
        </x:is>
      </x:c>
    </x:row>
    <x:row r="12" s="119" customFormat="1" ht="21.75" customHeight="1">
      <x:c r="A12" s="120"/>
      <x:c r="B12" s="115"/>
      <x:c r="C12" s="116"/>
      <x:c r="D12" s="116"/>
      <x:c r="E12" s="116"/>
      <x:c r="F12" s="121"/>
    </x:row>
    <x:row r="13" s="119" customFormat="1" ht="19.5" customHeight="1">
      <x:c r="A13" s="120"/>
      <x:c r="B13" s="115"/>
      <x:c r="C13" s="116"/>
      <x:c r="D13" s="116"/>
      <x:c r="E13" s="116"/>
      <x:c r="F13" s="121"/>
    </x:row>
    <x:row r="14" s="119" customFormat="1" ht="21.75" customHeight="1">
      <x:c r="A14" s="120"/>
      <x:c r="B14" s="115"/>
      <x:c r="C14" s="116"/>
      <x:c r="D14" s="116"/>
      <x:c r="E14" s="116"/>
      <x:c r="F14" s="121"/>
    </x:row>
    <x:row r="15" s="119" customFormat="1" ht="19.5" customHeight="1">
      <x:c r="A15" s="120"/>
      <x:c r="B15" s="115"/>
      <x:c r="C15" s="116"/>
      <x:c r="D15" s="116"/>
      <x:c r="E15" s="116"/>
      <x:c r="F15" s="121"/>
    </x:row>
    <x:row r="16" s="119" customFormat="1" ht="21.75" customHeight="1">
      <x:c r="A16" s="120"/>
      <x:c r="B16" s="115"/>
      <x:c r="C16" s="116"/>
      <x:c r="D16" s="116"/>
      <x:c r="E16" s="116"/>
      <x:c r="F16" s="121"/>
    </x:row>
    <x:row r="17" s="119" customFormat="1" ht="19.5" customHeight="1">
      <x:c r="A17" s="122"/>
      <x:c r="B17" s="123"/>
      <x:c r="C17" s="124"/>
      <x:c r="D17" s="124"/>
      <x:c r="E17" s="124"/>
      <x:c r="F17" s="125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ccf4df1723484a36"/>
</x:worksheet>
</file>

<file path=xl/worksheets/sheet2.xml><?xml version="1.0" encoding="utf-8"?>
<x:worksheet xmlns:x="http://schemas.openxmlformats.org/spreadsheetml/2006/main">
  <x:sheetFormatPr defaultColWidth="9" defaultRowHeight="12.75"/>
  <x:cols>
    <x:col min="1" max="1" width="1.375" style="1" customWidth="1"/>
    <x:col min="2" max="2" width="11.75" style="3" customWidth="1"/>
    <x:col min="3" max="3" width="26.5" style="4" customWidth="1"/>
    <x:col min="4" max="4" width="17.125" style="4" customWidth="1"/>
    <x:col min="5" max="5" width="28.125" style="4" customWidth="1"/>
    <x:col min="6" max="6" width="30.625" style="4" customWidth="1"/>
    <x:col min="7" max="16384" width="9" style="1" customWidth="0"/>
  </x:cols>
  <x:sheetData>
    <x:row r="1" ht="25.5">
      <x:c r="B1" s="5"/>
      <x:c r="D1" s="6" t="s">
        <x:v>13</x:v>
      </x:c>
      <x:c r="E1" s="7"/>
    </x:row>
    <x:row r="2" ht="13.5" customHeight="1">
      <x:c r="B2" s="5"/>
      <x:c r="D2" s="8"/>
      <x:c r="E2" s="8"/>
    </x:row>
    <x:row r="3">
      <x:c r="B3" s="163" t="s">
        <x:v>1</x:v>
      </x:c>
      <x:c r="C3" s="163"/>
      <x:c r="D3" s="164" t="inlineStr">
        <x:is>
          <x:t xml:space="preserve">Clinic Management System</x:t>
        </x:is>
      </x:c>
      <x:c r="E3" s="164"/>
      <x:c r="F3" s="164"/>
    </x:row>
    <x:row r="4">
      <x:c r="B4" s="163" t="s">
        <x:v>3</x:v>
      </x:c>
      <x:c r="C4" s="163"/>
      <x:c r="D4" s="164" t="inlineStr">
        <x:is>
          <x:t xml:space="preserve">CMS</x:t>
        </x:is>
      </x:c>
      <x:c r="E4" s="164"/>
      <x:c r="F4" s="164"/>
    </x:row>
    <x:row r="5" s="9" customFormat="1" ht="84.75" customHeight="1">
      <x:c r="B5" s="161" t="s">
        <x:v>14</x:v>
      </x:c>
      <x:c r="C5" s="161"/>
      <x:c r="D5" s="162" t="inlineStr">
        <x:is>
          <x:t xml:space="preserve">Spring Boot API; PostgreSQL; Redis; Postman/Swagger</x:t>
        </x:is>
      </x:c>
      <x:c r="E5" s="162"/>
      <x:c r="F5" s="162"/>
    </x:row>
    <x:row r="6">
      <x:c r="B6" s="10"/>
      <x:c r="C6" s="1"/>
      <x:c r="D6" s="1"/>
      <x:c r="E6" s="1"/>
      <x:c r="F6" s="1"/>
    </x:row>
    <x:row r="7" s="11" customFormat="1">
      <x:c r="B7" s="12"/>
      <x:c r="C7" s="13"/>
      <x:c r="D7" s="13"/>
      <x:c r="E7" s="13"/>
      <x:c r="F7" s="13"/>
    </x:row>
    <x:row r="8" s="14" customFormat="1" ht="21" customHeight="1">
      <x:c r="B8" s="15" t="s">
        <x:v>15</x:v>
      </x:c>
      <x:c r="C8" s="16" t="s">
        <x:v>16</x:v>
      </x:c>
      <x:c r="D8" s="16" t="s">
        <x:v>17</x:v>
      </x:c>
      <x:c r="E8" s="17" t="s">
        <x:v>18</x:v>
      </x:c>
      <x:c r="F8" s="18" t="s">
        <x:v>19</x:v>
      </x:c>
    </x:row>
    <x:row r="9" ht="13.5">
      <x:c r="B9" s="19">
        <x:v>1</x:v>
      </x:c>
      <x:c r="C9" s="20" t="str">
        <x:v>IT01 - Registration and OTP verification</x:v>
      </x:c>
      <x:c r="D9" s="94" t="inlineStr">
        <x:is>
          <x:t xml:space="preserve">IT01-Register</x:t>
        </x:is>
      </x:c>
      <x:c r="E9" s="21" t="str">
        <x:v>Registration and OTP verification</x:v>
      </x:c>
      <x:c r="F9" s="21" t="str">
        <x:v>See explicit values in the Feature sheet</x:v>
      </x:c>
    </x:row>
    <x:row r="10" ht="13.5">
      <x:c r="B10" s="19">
        <x:v>2</x:v>
      </x:c>
      <x:c r="C10" s="20" t="str">
        <x:v>IT02 - Login and token refresh</x:v>
      </x:c>
      <x:c r="D10" s="94" t="inlineStr">
        <x:is>
          <x:t xml:space="preserve">IT02-LoginToken</x:t>
        </x:is>
      </x:c>
      <x:c r="E10" s="21" t="str">
        <x:v>Login and token refresh</x:v>
      </x:c>
      <x:c r="F10" s="21" t="str">
        <x:v>See explicit values in the Feature sheet</x:v>
      </x:c>
    </x:row>
    <x:row r="11" ht="13.5">
      <x:c r="B11" s="19">
        <x:v>3</x:v>
      </x:c>
      <x:c r="C11" s="20" t="str">
        <x:v>IT03 - Customer profile management</x:v>
      </x:c>
      <x:c r="D11" s="94" t="inlineStr">
        <x:is>
          <x:t xml:space="preserve">IT03-Profile</x:t>
        </x:is>
      </x:c>
      <x:c r="E11" s="21" t="str">
        <x:v>Customer profile management</x:v>
      </x:c>
      <x:c r="F11" s="21" t="str">
        <x:v>See explicit values in the Feature sheet</x:v>
      </x:c>
    </x:row>
    <x:row r="12" ht="13.5">
      <x:c r="B12" s="19">
        <x:v>4</x:v>
      </x:c>
      <x:c r="C12" s="20" t="str">
        <x:v>IT04 - Appointment booking and check-in</x:v>
      </x:c>
      <x:c r="D12" s="94" t="inlineStr">
        <x:is>
          <x:t xml:space="preserve">IT04-Appointment</x:t>
        </x:is>
      </x:c>
      <x:c r="E12" s="21" t="str">
        <x:v>Appointment booking and check-in</x:v>
      </x:c>
      <x:c r="F12" s="21" t="str">
        <x:v>See explicit values in the Feature sheet</x:v>
      </x:c>
    </x:row>
    <x:row r="13" ht="13.5">
      <x:c r="B13" s="19">
        <x:v>5</x:v>
      </x:c>
      <x:c r="C13" s="20" t="str">
        <x:v>IT05 - Invoice payment and queue creation</x:v>
      </x:c>
      <x:c r="D13" s="94" t="inlineStr">
        <x:is>
          <x:t xml:space="preserve">IT05-PaymentQueue</x:t>
        </x:is>
      </x:c>
      <x:c r="E13" s="21" t="str">
        <x:v>Invoice payment and queue creation</x:v>
      </x:c>
      <x:c r="F13" s="21" t="str">
        <x:v>See explicit values in the Feature sheet</x:v>
      </x:c>
    </x:row>
    <x:row r="14">
      <x:c r="B14" s="19">
        <x:v>6</x:v>
      </x:c>
      <x:c r="C14" s="20" t="str">
        <x:v>IT06 - Queue handling and examination start</x:v>
      </x:c>
      <x:c r="D14" s="94" t="inlineStr">
        <x:is>
          <x:t xml:space="preserve">IT06-QueueExam</x:t>
        </x:is>
      </x:c>
      <x:c r="E14" s="21" t="str">
        <x:v>Queue handling and examination start</x:v>
      </x:c>
      <x:c r="F14" s="21" t="str">
        <x:v>See explicit values in the Feature sheet</x:v>
      </x:c>
    </x:row>
    <x:row r="15">
      <x:c r="B15" s="19">
        <x:v>7</x:v>
      </x:c>
      <x:c r="C15" s="20" t="str">
        <x:v>IT07 - Diagnosis and prescription</x:v>
      </x:c>
      <x:c r="D15" s="94" t="inlineStr">
        <x:is>
          <x:t xml:space="preserve">IT07-Examination</x:t>
        </x:is>
      </x:c>
      <x:c r="E15" s="21" t="str">
        <x:v>Diagnosis and prescription</x:v>
      </x:c>
      <x:c r="F15" s="21" t="str">
        <x:v>See explicit values in the Feature sheet</x:v>
      </x:c>
    </x:row>
    <x:row r="16">
      <x:c r="B16" s="19">
        <x:v>8</x:v>
      </x:c>
      <x:c r="C16" s="20" t="str">
        <x:v>IT08 - Clinical test ordering</x:v>
      </x:c>
      <x:c r="D16" s="94" t="inlineStr">
        <x:is>
          <x:t xml:space="preserve">IT08-TestOrder</x:t>
        </x:is>
      </x:c>
      <x:c r="E16" s="21" t="str">
        <x:v>Clinical test ordering</x:v>
      </x:c>
      <x:c r="F16" s="21" t="str">
        <x:v>See explicit values in the Feature sheet</x:v>
      </x:c>
    </x:row>
    <x:row r="17">
      <x:c r="B17" s="19">
        <x:v>9</x:v>
      </x:c>
      <x:c r="C17" s="20" t="str">
        <x:v>IT09 - Laboratory result completion</x:v>
      </x:c>
      <x:c r="D17" s="94" t="inlineStr">
        <x:is>
          <x:t xml:space="preserve">IT09-LabResult</x:t>
        </x:is>
      </x:c>
      <x:c r="E17" s="21" t="str">
        <x:v>Laboratory result completion</x:v>
      </x:c>
      <x:c r="F17" s="21" t="str">
        <x:v>See explicit values in the Feature sheet</x:v>
      </x:c>
    </x:row>
    <x:row r="18">
      <x:c r="B18" s="19">
        <x:v>10</x:v>
      </x:c>
      <x:c r="C18" s="20" t="str">
        <x:v>IT10 - Examination completion and follow-up</x:v>
      </x:c>
      <x:c r="D18" s="94" t="inlineStr">
        <x:is>
          <x:t xml:space="preserve">IT10-CompleteFollowup</x:t>
        </x:is>
      </x:c>
      <x:c r="E18" s="21" t="str">
        <x:v>Examination completion and follow-up</x:v>
      </x:c>
      <x:c r="F18" s="21" t="str">
        <x:v>See explicit values in the Feature sheet</x:v>
      </x:c>
    </x:row>
    <x:row r="19">
      <x:c r="B19" s="19">
        <x:v>11</x:v>
      </x:c>
      <x:c r="C19" s="20" t="str">
        <x:v>IT11 - Insurance and payment transaction</x:v>
      </x:c>
      <x:c r="D19" s="94" t="inlineStr">
        <x:is>
          <x:t xml:space="preserve">IT11-InsuranceTxn</x:t>
        </x:is>
      </x:c>
      <x:c r="E19" s="21" t="str">
        <x:v>Insurance and payment transaction</x:v>
      </x:c>
      <x:c r="F19" s="21" t="str">
        <x:v>See explicit values in the Feature sheet</x:v>
      </x:c>
    </x:row>
    <x:row r="20">
      <x:c r="B20" s="19">
        <x:v>12</x:v>
      </x:c>
      <x:c r="C20" s="20" t="str">
        <x:v>IT12 - Staff scheduling and attendance</x:v>
      </x:c>
      <x:c r="D20" s="94" t="inlineStr">
        <x:is>
          <x:t xml:space="preserve">IT12-StaffSchedule</x:t>
        </x:is>
      </x:c>
      <x:c r="E20" s="21" t="str">
        <x:v>Staff scheduling and attendance</x:v>
      </x:c>
      <x:c r="F20" s="21" t="str">
        <x:v>See explicit values in the Feature sheet</x:v>
      </x:c>
    </x:row>
    <x:row r="21">
      <x:c r="B21" s="19">
        <x:v>13</x:v>
      </x:c>
      <x:c r="C21" s="20" t="str">
        <x:v>IT13 - Administrative catalog management</x:v>
      </x:c>
      <x:c r="D21" s="94" t="inlineStr">
        <x:is>
          <x:t xml:space="preserve">IT13-AdminCatalog</x:t>
        </x:is>
      </x:c>
      <x:c r="E21" s="21" t="str">
        <x:v>Administrative catalog management</x:v>
      </x:c>
      <x:c r="F21" s="21" t="str">
        <x:v>See explicit values in the Feature sheet</x:v>
      </x:c>
    </x:row>
    <x:row r="22">
      <x:c r="B22" s="19">
        <x:v>14</x:v>
      </x:c>
      <x:c r="C22" s="20" t="str">
        <x:v>IT14 - Notification and support chat</x:v>
      </x:c>
      <x:c r="D22" s="94" t="inlineStr">
        <x:is>
          <x:t xml:space="preserve">IT14-NotifyChat</x:t>
        </x:is>
      </x:c>
      <x:c r="E22" s="21" t="str">
        <x:v>Notification and support chat</x:v>
      </x:c>
      <x:c r="F22" s="21" t="str">
        <x:v>See explicit values in the Feature sheet</x:v>
      </x:c>
    </x:row>
    <x:row r="23">
      <x:c r="B23" s="19">
        <x:v>15</x:v>
      </x:c>
      <x:c r="C23" s="20" t="str">
        <x:v>IT15 - Patient journey, reporting, and feedback</x:v>
      </x:c>
      <x:c r="D23" s="94" t="inlineStr">
        <x:is>
          <x:t xml:space="preserve">IT15-JourneyReport</x:t>
        </x:is>
      </x:c>
      <x:c r="E23" s="21" t="str">
        <x:v>Patient journey, reporting, and feedback</x:v>
      </x:c>
      <x:c r="F23" s="21" t="str">
        <x:v>See explicit values in the Feature sheet</x:v>
      </x:c>
    </x:row>
  </x:sheetData>
  <x:mergeCells>
    <x:mergeCell ref="B5:C5"/>
    <x:mergeCell ref="D5:F5"/>
    <x:mergeCell ref="B3:C3"/>
    <x:mergeCell ref="D3:F3"/>
    <x:mergeCell ref="B4:C4"/>
    <x:mergeCell ref="D4:F4"/>
  </x:mergeCells>
  <x:hyperlinks>
    <x:hyperlink ref="D9" location="'IT01-Register'!A1"/>
    <x:hyperlink ref="D10" location="'IT02-LoginToken'!A1"/>
    <x:hyperlink ref="D11" location="'IT03-Profile'!A1"/>
    <x:hyperlink ref="D12" location="'IT04-Appointment'!A1"/>
    <x:hyperlink ref="D13" location="'IT05-PaymentQueue'!A1"/>
    <x:hyperlink ref="D14" location="'IT06-QueueExam'!A1"/>
    <x:hyperlink ref="D15" location="'IT07-Examination'!A1"/>
    <x:hyperlink ref="D16" location="'IT08-TestOrder'!A1"/>
    <x:hyperlink ref="D17" location="'IT09-LabResult'!A1"/>
    <x:hyperlink ref="D18" location="'IT10-CompleteFollowup'!A1"/>
    <x:hyperlink ref="D19" location="'IT11-InsuranceTxn'!A1"/>
    <x:hyperlink ref="D20" location="'IT12-StaffSchedule'!A1"/>
    <x:hyperlink ref="D21" location="'IT13-AdminCatalog'!A1"/>
    <x:hyperlink ref="D22" location="'IT14-NotifyChat'!A1"/>
    <x:hyperlink ref="D23" location="'IT15-JourneyReport'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2.75"/>
  <x:cols>
    <x:col min="1" max="1" width="4.5" style="1" customWidth="1"/>
    <x:col min="2" max="2" width="18.375" style="1" customWidth="1"/>
    <x:col min="3" max="3" width="19.375" style="1" customWidth="1"/>
    <x:col min="4" max="6" width="11.625" style="1" customWidth="1"/>
    <x:col min="7" max="7" width="9" style="1" customWidth="0"/>
    <x:col min="8" max="8" width="35.5" style="1" customWidth="1"/>
    <x:col min="9" max="9" width="33.125" style="1" customWidth="1"/>
    <x:col min="10" max="16384" width="9" style="1" customWidth="0"/>
  </x:cols>
  <x:sheetData>
    <x:row r="1" ht="25.5" customHeight="1">
      <x:c r="B1" s="167" t="s">
        <x:v>20</x:v>
      </x:c>
      <x:c r="C1" s="167"/>
      <x:c r="D1" s="167"/>
      <x:c r="E1" s="167"/>
      <x:c r="F1" s="167"/>
      <x:c r="G1" s="167"/>
      <x:c r="H1" s="167"/>
    </x:row>
    <x:row r="2" ht="14.25" customHeight="1">
      <x:c r="A2" s="47"/>
      <x:c r="B2" s="47"/>
      <x:c r="C2" s="48"/>
      <x:c r="D2" s="48"/>
      <x:c r="E2" s="48"/>
      <x:c r="F2" s="48"/>
      <x:c r="G2" s="48"/>
      <x:c r="H2" s="49"/>
    </x:row>
    <x:row r="3" ht="12" customHeight="1">
      <x:c r="B3" s="2" t="s">
        <x:v>1</x:v>
      </x:c>
      <x:c r="C3" s="164" t="inlineStr">
        <x:is>
          <x:t xml:space="preserve">Clinic Management System</x:t>
        </x:is>
      </x:c>
      <x:c r="D3" s="164"/>
      <x:c r="E3" s="165" t="s">
        <x:v>2</x:v>
      </x:c>
      <x:c r="F3" s="165"/>
      <x:c r="G3" s="50"/>
      <x:c r="H3" s="51"/>
    </x:row>
    <x:row r="4" ht="12" customHeight="1">
      <x:c r="B4" s="2" t="s">
        <x:v>3</x:v>
      </x:c>
      <x:c r="C4" s="164" t="inlineStr">
        <x:is>
          <x:t xml:space="preserve">CMS</x:t>
        </x:is>
      </x:c>
      <x:c r="D4" s="164"/>
      <x:c r="E4" s="165" t="s">
        <x:v>21</x:v>
      </x:c>
      <x:c r="F4" s="165"/>
      <x:c r="G4" s="50"/>
      <x:c r="H4" s="51"/>
    </x:row>
    <x:row r="5" ht="12" customHeight="1">
      <x:c r="B5" s="52" t="s">
        <x:v>5</x:v>
      </x:c>
      <x:c r="C5" s="164" t="str">
        <x:f>C4&amp;"_Integration Test Report_v1.0"</x:f>
        <x:v>CMS_Integration Test Report_v1.0</x:v>
      </x:c>
      <x:c r="D5" s="164"/>
      <x:c r="E5" s="165" t="s">
        <x:v>4</x:v>
      </x:c>
      <x:c r="F5" s="165"/>
      <x:c r="G5" s="50"/>
      <x:c r="H5" s="53" t="inlineStr">
        <x:is>
          <x:t xml:space="preserve">2026-08-12</x:t>
        </x:is>
      </x:c>
    </x:row>
    <x:row r="6" ht="21.75" customHeight="1">
      <x:c r="A6" s="47"/>
      <x:c r="B6" s="52" t="s">
        <x:v>22</x:v>
      </x:c>
      <x:c r="C6" s="166" t="inlineStr">
        <x:is>
          <x:t xml:space="preserve">Sample review: IT01, IT04, IT09</x:t>
        </x:is>
      </x:c>
      <x:c r="D6" s="166"/>
      <x:c r="E6" s="166"/>
      <x:c r="F6" s="166"/>
      <x:c r="G6" s="166"/>
      <x:c r="H6" s="166"/>
    </x:row>
    <x:row r="7" ht="14.25" customHeight="1">
      <x:c r="A7" s="47"/>
      <x:c r="B7" s="54"/>
      <x:c r="C7" s="55"/>
      <x:c r="D7" s="48"/>
      <x:c r="E7" s="48"/>
      <x:c r="F7" s="48"/>
      <x:c r="G7" s="48"/>
      <x:c r="H7" s="49"/>
    </x:row>
    <x:row r="8">
      <x:c r="B8" s="54"/>
      <x:c r="C8" s="55"/>
      <x:c r="D8" s="48"/>
      <x:c r="E8" s="48"/>
      <x:c r="F8" s="48"/>
      <x:c r="G8" s="48"/>
      <x:c r="H8" s="49"/>
    </x:row>
    <x:row r="10">
      <x:c r="A10" s="56"/>
      <x:c r="B10" s="57" t="s">
        <x:v>15</x:v>
      </x:c>
      <x:c r="C10" s="58" t="s">
        <x:v>23</x:v>
      </x:c>
      <x:c r="D10" s="59" t="s">
        <x:v>24</x:v>
      </x:c>
      <x:c r="E10" s="58" t="s">
        <x:v>25</x:v>
      </x:c>
      <x:c r="F10" s="58" t="s">
        <x:v>26</x:v>
      </x:c>
      <x:c r="G10" s="60" t="s">
        <x:v>27</x:v>
      </x:c>
      <x:c r="H10" s="61" t="s">
        <x:v>28</x:v>
      </x:c>
    </x:row>
    <x:row r="11">
      <x:c r="A11" s="56"/>
      <x:c r="B11" s="62">
        <x:v>1</x:v>
      </x:c>
      <x:c r="C11" s="63" t="str">
        <x:f>'IT01-Register'!B2</x:f>
        <x:v>IT01 - Registration and OTP verification</x:v>
      </x:c>
      <x:c r="D11" s="64" t="n">
        <x:f>'IT01-Register'!B6</x:f>
        <x:v>0</x:v>
      </x:c>
      <x:c r="E11" s="64" t="n">
        <x:f>'IT01-Register'!C6</x:f>
        <x:v>0</x:v>
      </x:c>
      <x:c r="F11" s="64" t="n">
        <x:f>'IT01-Register'!D6</x:f>
        <x:v>6</x:v>
      </x:c>
      <x:c r="G11" s="64" t="n">
        <x:f>'IT01-Register'!E6</x:f>
        <x:v>0</x:v>
      </x:c>
      <x:c r="H11" s="64" t="n">
        <x:f>'IT01-Register'!B4</x:f>
        <x:v>6</x:v>
      </x:c>
    </x:row>
    <x:row r="12">
      <x:c r="A12" s="56"/>
      <x:c r="B12" s="62">
        <x:v>2</x:v>
      </x:c>
      <x:c r="C12" s="63" t="str">
        <x:f>'IT02-LoginToken'!B2</x:f>
        <x:v>IT02 - Login and token refresh</x:v>
      </x:c>
      <x:c r="D12" s="64" t="n">
        <x:f>'IT02-LoginToken'!B6</x:f>
        <x:v>0</x:v>
      </x:c>
      <x:c r="E12" s="64" t="n">
        <x:f>'IT02-LoginToken'!C6</x:f>
        <x:v>0</x:v>
      </x:c>
      <x:c r="F12" s="64" t="n">
        <x:f>'IT02-LoginToken'!D6</x:f>
        <x:v>6</x:v>
      </x:c>
      <x:c r="G12" s="64" t="n">
        <x:f>'IT02-LoginToken'!E6</x:f>
        <x:v>0</x:v>
      </x:c>
      <x:c r="H12" s="64" t="n">
        <x:f>'IT02-LoginToken'!B4</x:f>
        <x:v>6</x:v>
      </x:c>
    </x:row>
    <x:row r="13">
      <x:c r="A13" s="56"/>
      <x:c r="B13" s="62">
        <x:v>3</x:v>
      </x:c>
      <x:c r="C13" s="63" t="str">
        <x:f>'IT03-Profile'!B2</x:f>
        <x:v>IT03 - Customer profile management</x:v>
      </x:c>
      <x:c r="D13" s="64" t="n">
        <x:f>'IT03-Profile'!B6</x:f>
        <x:v>0</x:v>
      </x:c>
      <x:c r="E13" s="64" t="n">
        <x:f>'IT03-Profile'!C6</x:f>
        <x:v>0</x:v>
      </x:c>
      <x:c r="F13" s="64" t="n">
        <x:f>'IT03-Profile'!D6</x:f>
        <x:v>6</x:v>
      </x:c>
      <x:c r="G13" s="64" t="n">
        <x:f>'IT03-Profile'!E6</x:f>
        <x:v>0</x:v>
      </x:c>
      <x:c r="H13" s="64" t="n">
        <x:f>'IT03-Profile'!B4</x:f>
        <x:v>6</x:v>
      </x:c>
    </x:row>
    <x:row r="14">
      <x:c r="A14" s="56"/>
      <x:c r="B14" s="62">
        <x:v>4</x:v>
      </x:c>
      <x:c r="C14" s="63" t="str">
        <x:f>'IT04-Appointment'!B2</x:f>
        <x:v>IT04 - Appointment booking and check-in</x:v>
      </x:c>
      <x:c r="D14" s="64" t="n">
        <x:f>'IT04-Appointment'!B6</x:f>
        <x:v>0</x:v>
      </x:c>
      <x:c r="E14" s="64" t="n">
        <x:f>'IT04-Appointment'!C6</x:f>
        <x:v>0</x:v>
      </x:c>
      <x:c r="F14" s="64" t="n">
        <x:f>'IT04-Appointment'!D6</x:f>
        <x:v>6</x:v>
      </x:c>
      <x:c r="G14" s="64" t="n">
        <x:f>'IT04-Appointment'!E6</x:f>
        <x:v>0</x:v>
      </x:c>
      <x:c r="H14" s="64" t="n">
        <x:f>'IT04-Appointment'!B4</x:f>
        <x:v>6</x:v>
      </x:c>
    </x:row>
    <x:row r="15">
      <x:c r="B15" s="62">
        <x:v>5</x:v>
      </x:c>
      <x:c r="C15" s="63" t="str">
        <x:f>'IT05-PaymentQueue'!B2</x:f>
        <x:v>IT05 - Invoice payment and queue creation</x:v>
      </x:c>
      <x:c r="D15" s="64" t="n">
        <x:f>'IT05-PaymentQueue'!B6</x:f>
        <x:v>0</x:v>
      </x:c>
      <x:c r="E15" s="64" t="n">
        <x:f>'IT05-PaymentQueue'!C6</x:f>
        <x:v>0</x:v>
      </x:c>
      <x:c r="F15" s="64" t="n">
        <x:f>'IT05-PaymentQueue'!D6</x:f>
        <x:v>6</x:v>
      </x:c>
      <x:c r="G15" s="64" t="n">
        <x:f>'IT05-PaymentQueue'!E6</x:f>
        <x:v>0</x:v>
      </x:c>
      <x:c r="H15" s="64" t="n">
        <x:f>'IT05-PaymentQueue'!B4</x:f>
        <x:v>6</x:v>
      </x:c>
    </x:row>
    <x:row r="16">
      <x:c r="B16" s="62">
        <x:v>6</x:v>
      </x:c>
      <x:c r="C16" s="63" t="str">
        <x:f>'IT06-QueueExam'!B2</x:f>
        <x:v>IT06 - Queue handling and examination start</x:v>
      </x:c>
      <x:c r="D16" s="64" t="n">
        <x:f>'IT06-QueueExam'!B6</x:f>
        <x:v>0</x:v>
      </x:c>
      <x:c r="E16" s="64" t="n">
        <x:f>'IT06-QueueExam'!C6</x:f>
        <x:v>0</x:v>
      </x:c>
      <x:c r="F16" s="64" t="n">
        <x:f>'IT06-QueueExam'!D6</x:f>
        <x:v>6</x:v>
      </x:c>
      <x:c r="G16" s="64" t="n">
        <x:f>'IT06-QueueExam'!E6</x:f>
        <x:v>0</x:v>
      </x:c>
      <x:c r="H16" s="64" t="n">
        <x:f>'IT06-QueueExam'!B4</x:f>
        <x:v>6</x:v>
      </x:c>
    </x:row>
    <x:row r="17">
      <x:c r="B17" s="62">
        <x:v>7</x:v>
      </x:c>
      <x:c r="C17" s="63" t="str">
        <x:f>'IT07-Examination'!B2</x:f>
        <x:v>IT07 - Diagnosis and prescription</x:v>
      </x:c>
      <x:c r="D17" s="64" t="n">
        <x:f>'IT07-Examination'!B6</x:f>
        <x:v>0</x:v>
      </x:c>
      <x:c r="E17" s="64" t="n">
        <x:f>'IT07-Examination'!C6</x:f>
        <x:v>0</x:v>
      </x:c>
      <x:c r="F17" s="64" t="n">
        <x:f>'IT07-Examination'!D6</x:f>
        <x:v>6</x:v>
      </x:c>
      <x:c r="G17" s="64" t="n">
        <x:f>'IT07-Examination'!E6</x:f>
        <x:v>0</x:v>
      </x:c>
      <x:c r="H17" s="64" t="n">
        <x:f>'IT07-Examination'!B4</x:f>
        <x:v>6</x:v>
      </x:c>
    </x:row>
    <x:row r="18">
      <x:c r="A18" s="56"/>
      <x:c r="B18" s="62">
        <x:v>8</x:v>
      </x:c>
      <x:c r="C18" s="63" t="str">
        <x:f>'IT08-TestOrder'!B2</x:f>
        <x:v>IT08 - Clinical test ordering</x:v>
      </x:c>
      <x:c r="D18" s="64" t="n">
        <x:f>'IT08-TestOrder'!B6</x:f>
        <x:v>0</x:v>
      </x:c>
      <x:c r="E18" s="64" t="n">
        <x:f>'IT08-TestOrder'!C6</x:f>
        <x:v>0</x:v>
      </x:c>
      <x:c r="F18" s="64" t="n">
        <x:f>'IT08-TestOrder'!D6</x:f>
        <x:v>6</x:v>
      </x:c>
      <x:c r="G18" s="64" t="n">
        <x:f>'IT08-TestOrder'!E6</x:f>
        <x:v>0</x:v>
      </x:c>
      <x:c r="H18" s="64" t="n">
        <x:f>'IT08-TestOrder'!B4</x:f>
        <x:v>6</x:v>
      </x:c>
    </x:row>
    <x:row r="19">
      <x:c r="A19" s="56"/>
      <x:c r="B19" s="62">
        <x:v>9</x:v>
      </x:c>
      <x:c r="C19" s="63" t="str">
        <x:f>'IT09-LabResult'!B2</x:f>
        <x:v>IT09 - Laboratory result completion</x:v>
      </x:c>
      <x:c r="D19" s="64" t="n">
        <x:f>'IT09-LabResult'!B6</x:f>
        <x:v>0</x:v>
      </x:c>
      <x:c r="E19" s="64" t="n">
        <x:f>'IT09-LabResult'!C6</x:f>
        <x:v>0</x:v>
      </x:c>
      <x:c r="F19" s="64" t="n">
        <x:f>'IT09-LabResult'!D6</x:f>
        <x:v>6</x:v>
      </x:c>
      <x:c r="G19" s="64" t="n">
        <x:f>'IT09-LabResult'!E6</x:f>
        <x:v>0</x:v>
      </x:c>
      <x:c r="H19" s="64" t="n">
        <x:f>'IT09-LabResult'!B4</x:f>
        <x:v>6</x:v>
      </x:c>
    </x:row>
    <x:row r="20">
      <x:c r="A20" s="56"/>
      <x:c r="B20" s="62">
        <x:v>10</x:v>
      </x:c>
      <x:c r="C20" s="63" t="str">
        <x:f>'IT10-CompleteFollowup'!B2</x:f>
        <x:v>IT10 - Examination completion and follow-up</x:v>
      </x:c>
      <x:c r="D20" s="64" t="n">
        <x:f>'IT10-CompleteFollowup'!B6</x:f>
        <x:v>0</x:v>
      </x:c>
      <x:c r="E20" s="64" t="n">
        <x:f>'IT10-CompleteFollowup'!C6</x:f>
        <x:v>0</x:v>
      </x:c>
      <x:c r="F20" s="64" t="n">
        <x:f>'IT10-CompleteFollowup'!D6</x:f>
        <x:v>6</x:v>
      </x:c>
      <x:c r="G20" s="64" t="n">
        <x:f>'IT10-CompleteFollowup'!E6</x:f>
        <x:v>0</x:v>
      </x:c>
      <x:c r="H20" s="64" t="n">
        <x:f>'IT10-CompleteFollowup'!B4</x:f>
        <x:v>6</x:v>
      </x:c>
    </x:row>
    <x:row r="21">
      <x:c r="A21" s="56"/>
      <x:c r="B21" s="62">
        <x:v>11</x:v>
      </x:c>
      <x:c r="C21" s="63" t="str">
        <x:f>'IT11-InsuranceTxn'!B2</x:f>
        <x:v>IT11 - Insurance and payment transaction</x:v>
      </x:c>
      <x:c r="D21" s="64" t="n">
        <x:f>'IT11-InsuranceTxn'!B6</x:f>
        <x:v>0</x:v>
      </x:c>
      <x:c r="E21" s="64" t="n">
        <x:f>'IT11-InsuranceTxn'!C6</x:f>
        <x:v>0</x:v>
      </x:c>
      <x:c r="F21" s="64" t="n">
        <x:f>'IT11-InsuranceTxn'!D6</x:f>
        <x:v>6</x:v>
      </x:c>
      <x:c r="G21" s="64" t="n">
        <x:f>'IT11-InsuranceTxn'!E6</x:f>
        <x:v>0</x:v>
      </x:c>
      <x:c r="H21" s="64" t="n">
        <x:f>'IT11-InsuranceTxn'!B4</x:f>
        <x:v>6</x:v>
      </x:c>
    </x:row>
    <x:row r="22">
      <x:c r="A22" s="56"/>
      <x:c r="B22" s="62">
        <x:v>12</x:v>
      </x:c>
      <x:c r="C22" s="63" t="str">
        <x:f>'IT12-StaffSchedule'!B2</x:f>
        <x:v>IT12 - Staff scheduling and attendance</x:v>
      </x:c>
      <x:c r="D22" s="64" t="n">
        <x:f>'IT12-StaffSchedule'!B6</x:f>
        <x:v>0</x:v>
      </x:c>
      <x:c r="E22" s="64" t="n">
        <x:f>'IT12-StaffSchedule'!C6</x:f>
        <x:v>0</x:v>
      </x:c>
      <x:c r="F22" s="64" t="n">
        <x:f>'IT12-StaffSchedule'!D6</x:f>
        <x:v>6</x:v>
      </x:c>
      <x:c r="G22" s="64" t="n">
        <x:f>'IT12-StaffSchedule'!E6</x:f>
        <x:v>0</x:v>
      </x:c>
      <x:c r="H22" s="64" t="n">
        <x:f>'IT12-StaffSchedule'!B4</x:f>
        <x:v>6</x:v>
      </x:c>
    </x:row>
    <x:row r="23">
      <x:c r="A23" s="56"/>
      <x:c r="B23" s="62">
        <x:v>13</x:v>
      </x:c>
      <x:c r="C23" s="63" t="str">
        <x:f>'IT13-AdminCatalog'!B2</x:f>
        <x:v>IT13 - Administrative catalog management</x:v>
      </x:c>
      <x:c r="D23" s="64" t="n">
        <x:f>'IT13-AdminCatalog'!B6</x:f>
        <x:v>0</x:v>
      </x:c>
      <x:c r="E23" s="64" t="n">
        <x:f>'IT13-AdminCatalog'!C6</x:f>
        <x:v>0</x:v>
      </x:c>
      <x:c r="F23" s="64" t="n">
        <x:f>'IT13-AdminCatalog'!D6</x:f>
        <x:v>6</x:v>
      </x:c>
      <x:c r="G23" s="64" t="n">
        <x:f>'IT13-AdminCatalog'!E6</x:f>
        <x:v>0</x:v>
      </x:c>
      <x:c r="H23" s="64" t="n">
        <x:f>'IT13-AdminCatalog'!B4</x:f>
        <x:v>6</x:v>
      </x:c>
    </x:row>
    <x:row r="24">
      <x:c r="A24" s="56"/>
      <x:c r="B24" s="62">
        <x:v>14</x:v>
      </x:c>
      <x:c r="C24" s="63" t="str">
        <x:f>'IT14-NotifyChat'!B2</x:f>
        <x:v>IT14 - Notification and support chat</x:v>
      </x:c>
      <x:c r="D24" s="64" t="n">
        <x:f>'IT14-NotifyChat'!B6</x:f>
        <x:v>0</x:v>
      </x:c>
      <x:c r="E24" s="64" t="n">
        <x:f>'IT14-NotifyChat'!C6</x:f>
        <x:v>0</x:v>
      </x:c>
      <x:c r="F24" s="64" t="n">
        <x:f>'IT14-NotifyChat'!D6</x:f>
        <x:v>6</x:v>
      </x:c>
      <x:c r="G24" s="64" t="n">
        <x:f>'IT14-NotifyChat'!E6</x:f>
        <x:v>0</x:v>
      </x:c>
      <x:c r="H24" s="64" t="n">
        <x:f>'IT14-NotifyChat'!B4</x:f>
        <x:v>6</x:v>
      </x:c>
    </x:row>
    <x:row r="25">
      <x:c r="A25" s="56"/>
      <x:c r="B25" s="62">
        <x:v>15</x:v>
      </x:c>
      <x:c r="C25" s="63" t="str">
        <x:f>'IT15-JourneyReport'!B2</x:f>
        <x:v>IT15 - Patient journey, reporting, and feedback</x:v>
      </x:c>
      <x:c r="D25" s="64" t="n">
        <x:f>'IT15-JourneyReport'!B6</x:f>
        <x:v>0</x:v>
      </x:c>
      <x:c r="E25" s="64" t="n">
        <x:f>'IT15-JourneyReport'!C6</x:f>
        <x:v>0</x:v>
      </x:c>
      <x:c r="F25" s="64" t="n">
        <x:f>'IT15-JourneyReport'!D6</x:f>
        <x:v>6</x:v>
      </x:c>
      <x:c r="G25" s="64" t="n">
        <x:f>'IT15-JourneyReport'!E6</x:f>
        <x:v>0</x:v>
      </x:c>
      <x:c r="H25" s="64" t="n">
        <x:f>'IT15-JourneyReport'!B4</x:f>
        <x:v>6</x:v>
      </x:c>
    </x:row>
    <x:row r="27">
      <x:c r="C27" s="68" t="inlineStr">
        <x:is>
          <x:t xml:space="preserve">Sub total</x:t>
        </x:is>
      </x:c>
      <x:c r="D27" s="69" t="n">
        <x:f>SUM(D11:D25)</x:f>
        <x:v>0</x:v>
      </x:c>
      <x:c r="E27" s="69" t="n">
        <x:f>SUM(E11:E25)</x:f>
        <x:v>0</x:v>
      </x:c>
      <x:c r="F27" s="69" t="n">
        <x:f>SUM(F11:F25)</x:f>
        <x:v>90</x:v>
      </x:c>
      <x:c r="G27" s="69" t="n">
        <x:f>SUM(G11:G25)</x:f>
        <x:v>0</x:v>
      </x:c>
      <x:c r="H27" s="69" t="n">
        <x:f>SUM(H11:H25)</x:f>
        <x:v>90</x:v>
      </x:c>
    </x:row>
    <x:row r="29">
      <x:c r="C29" s="74" t="inlineStr">
        <x:is>
          <x:t xml:space="preserve">Test coverage</x:t>
        </x:is>
      </x:c>
      <x:c r="E29" s="75" t="n">
        <x:f>IFERROR((D27+E27)*100/(H27-G27),0)</x:f>
        <x:v>0</x:v>
      </x:c>
      <x:c r="F29" s="1" t="inlineStr">
        <x:is>
          <x:t xml:space="preserve">%</x:t>
        </x:is>
      </x:c>
    </x:row>
    <x:row r="30">
      <x:c r="C30" s="74" t="inlineStr">
        <x:is>
          <x:t xml:space="preserve">Test successful coverage</x:t>
        </x:is>
      </x:c>
      <x:c r="E30" s="75" t="n">
        <x:f>IFERROR(D27*100/(H27-G27),0)</x:f>
        <x:v>0</x:v>
      </x:c>
      <x:c r="F30" s="1" t="inlineStr">
        <x:is>
          <x:t xml:space="preserve">%</x:t>
        </x:is>
      </x:c>
    </x:row>
  </x:sheetData>
  <x:mergeCells>
    <x:mergeCell ref="C5:D5"/>
    <x:mergeCell ref="E5:F5"/>
    <x:mergeCell ref="C6:H6"/>
    <x:mergeCell ref="B1:H1"/>
    <x:mergeCell ref="C3:D3"/>
    <x:mergeCell ref="E3:F3"/>
    <x:mergeCell ref="C4:D4"/>
    <x:mergeCell ref="E4:F4"/>
  </x:mergeCells>
  <x:pageMargins left="0.7" right="0.7" top="0.75" bottom="0.75" header="0.3" footer="0.3"/>
</x:worksheet>
</file>

<file path=xl/worksheets/sheet4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4.12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IT01 - Registration and OTP verification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Redis OTP -&gt; Account -&gt; Profile -&gt; JWT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IT01-001</ns0:v>
      </ns0:c>
      <ns0:c r="B12" s="39" t="str">
        <ns0:v>Register with verified OTP</ns0:v>
      </ns0:c>
      <ns0:c r="C12" s="39" t="str">
        <ns0:v>phone = "0944433222"
otp = "482615"
password = "Clinic@123"
fullName = "John Carter"
dateOfBirth = "1998-05-20"
POST /api/auth/register</ns0:v>
      </ns0:c>
      <ns0:c r="D12" s="45" t="str">
        <ns0:v>httpStatus = 201
response.accessToken != null
account.phone = "0944433222"
account.systemRole = "CUSTOMER"
profile.fullName = "John Carter"</ns0:v>
      </ns0:c>
      <ns0:c r="E12" s="39" t="str">
        <ns0:v>redis.otp["0944433222"] = "482615"
redis.otpVerified["0944433222"] = true
account.phone.count = 0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V3, V4, V5, V6</ns0:v>
      </ns0:c>
      <ns0:c r="Q12" s="43"/>
    </ns0:row>
    <ns0:row r="13" ht="18">
      <ns0:c r="A13" s="79" t="str">
        <ns0:v>IT01-002</ns0:v>
      </ns0:c>
      <ns0:c r="B13" t="str">
        <ns0:v>Reject five-digit OTP</ns0:v>
      </ns0:c>
      <ns0:c r="C13" t="str">
        <ns0:v>phone = "0944433222"
otp = "48261"
POST /api/auth/verify-register-otp</ns0:v>
      </ns0:c>
      <ns0:c r="D13" t="str">
        <ns0:v>httpStatus = 400
response.code = "INVALID_OTP"
redis.otpVerified["0944433222"] = null</ns0:v>
      </ns0:c>
      <ns0:c r="E13" t="str">
        <ns0:v>redis.otp["0944433222"] = "482615"</ns0:v>
      </ns0:c>
      <ns0:c r="F13" t="str">
        <ns0:v>Pending</ns0:v>
      </ns0:c>
      <ns0:c r="G13"/>
      <ns0:c r="H13"/>
      <ns0:c r="I13" t="str">
        <ns0:v>Pending</ns0:v>
      </ns0:c>
      <ns0:c r="J13"/>
      <ns0:c r="K13"/>
      <ns0:c r="L13" t="str">
        <ns0:v>Pending</ns0:v>
      </ns0:c>
      <ns0:c r="M13"/>
      <ns0:c r="N13"/>
      <ns0:c r="O13" t="str">
        <ns0:v>B2</ns0:v>
      </ns0:c>
      <ns0:c r="Q13" s="43"/>
    </ns0:row>
    <ns0:row r="14" ht="105" customHeight="1">
      <ns0:c r="A14" s="39" t="str">
        <ns0:v>Invalid concrete input values</ns0:v>
      </ns0:c>
      <ns0:c r="B14" s="39"/>
      <ns0:c r="C14" s="39"/>
      <ns0:c r="D14" s="45"/>
      <ns0:c r="E14" s="39"/>
      <ns0:c r="F14" s="39"/>
      <ns0:c r="G14"/>
      <ns0:c r="H14"/>
      <ns0:c r="I14" s="39"/>
      <ns0:c r="J14"/>
      <ns0:c r="K14"/>
      <ns0:c r="L14" s="39"/>
      <ns0:c r="M14"/>
      <ns0:c r="N14"/>
      <ns0:c r="O14" s="39"/>
      <ns0:c r="Q14" s="43"/>
    </ns0:row>
    <ns0:row r="15" s="30" customFormat="1" ht="105" customHeight="1">
      <ns0:c r="A15" s="39" t="str">
        <ns0:v>IT01-003</ns0:v>
      </ns0:c>
      <ns0:c r="B15" s="39" t="str">
        <ns0:v>Reject registration without OTP verification</ns0:v>
      </ns0:c>
      <ns0:c r="C15" s="39" t="str">
        <ns0:v>phone = "0944433222"
password = "Clinic@123"
POST /api/auth/register</ns0:v>
      </ns0:c>
      <ns0:c r="D15" s="45" t="str">
        <ns0:v>httpStatus = 400
response.code = "OTP_NOT_VERIFIED"
account.phone.count = 0</ns0:v>
      </ns0:c>
      <ns0:c r="E15" s="39" t="str">
        <ns0:v>redis.otpVerified["0944433222"] = null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IT01-004</ns0:v>
      </ns0:c>
      <ns0:c r="B16" s="39" t="str">
        <ns0:v>Reject short password</ns0:v>
      </ns0:c>
      <ns0:c r="C16" s="39" t="str">
        <ns0:v>phone = "0944433222"
password = "abc"
POST /api/auth/register</ns0:v>
      </ns0:c>
      <ns0:c r="D16" s="45" t="str">
        <ns0:v>httpStatus = 400
response.code = "VALIDATION_ERROR"
account.phone.count = 0</ns0:v>
      </ns0:c>
      <ns0:c r="E16" s="39" t="str">
        <ns0:v>redis.otpVerified["0944433222"] = true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I3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s="30" customFormat="1" ht="105" customHeight="1">
      <ns0:c r="A18" s="39" t="str">
        <ns0:v>IT01-005</ns0:v>
      </ns0:c>
      <ns0:c r="B18" s="39" t="str">
        <ns0:v>Reject duplicate phone</ns0:v>
      </ns0:c>
      <ns0:c r="C18" s="39" t="str">
        <ns0:v>phone = "0944433222"
password = "Clinic@123"
POST /api/auth/register</ns0:v>
      </ns0:c>
      <ns0:c r="D18" s="45" t="str">
        <ns0:v>httpStatus = 409
response.code = "PHONE_ALREADY_EXISTS"
account.phone.count = 1</ns0:v>
      </ns0:c>
      <ns0:c r="E18" s="39" t="str">
        <ns0:v>account.phone = "0944433222"
account.phone.count = 1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I6</ns0:v>
      </ns0:c>
      <ns0:c r="Q18" s="38"/>
    </ns0:row>
    <ns0:row r="19" ht="105" customHeight="1">
      <ns0:c r="A19" s="39" t="str">
        <ns0:v>IT01-006</ns0:v>
      </ns0:c>
      <ns0:c r="B19" s="39" t="str">
        <ns0:v>Reject future date of birth</ns0:v>
      </ns0:c>
      <ns0:c r="C19" s="39" t="str">
        <ns0:v>phone = "0988776655"
dateOfBirth = "2027-01-01"
POST /api/auth/register</ns0:v>
      </ns0:c>
      <ns0:c r="D19" s="45" t="str">
        <ns0:v>httpStatus = 400
response.code = "INVALID_DATE_OF_BIRTH"
account.phone.count = 0</ns0:v>
      </ns0:c>
      <ns0:c r="E19" s="39" t="str">
        <ns0:v>redis.otpVerified["0988776655"] = true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I5</ns0:v>
      </ns0:c>
      <ns0:c r="Q19" s="43"/>
    </ns0:row>
  </ns0:sheetData>
  <ns0:mergeCells>
    <ns0:mergeCell ref="B2:E2"/>
    <ns0:mergeCell ref="B4:E4"/>
    <ns0:mergeCell ref="B3:E3"/>
  </ns0:mergeCells>
  <ns0:dataValidations count="2">
    <ns0:dataValidation type="list" allowBlank="1" showErrorMessage="1" sqref="F12:F19 I12:I19 L12:L19">
      <ns0:formula1>$R$2:$R$5</ns0:formula1>
      <ns0:formula2>0</ns0:formula2>
    </ns0:dataValidation>
    <ns0:dataValidation allowBlank="1" showErrorMessage="1" sqref="F12:F19 I12:I19 L12:L19"/>
  </ns0:dataValidations>
  <ns0:pageMargins left="0.7" right="0.7" top="0.75" bottom="0.75" header="0.3" footer="0.3"/>
</ns0:worksheet>
</file>

<file path=xl/worksheets/sheet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phone</x:v>
      </x:c>
      <x:c r="B3" s="129" t="str">
        <x:v>phone = "0944433222"</x:v>
      </x:c>
      <x:c r="C3" s="129" t="str">
        <x:v>V1</x:v>
      </x:c>
      <x:c r="D3" s="129" t="str">
        <x:v>phone = "944433222"</x:v>
      </x:c>
      <x:c r="E3" s="129" t="str">
        <x:v>I1</x:v>
      </x:c>
      <x:c r="F3" s="129" t="str">
        <x:v>phone = "0944433222"</x:v>
      </x:c>
      <x:c r="G3" s="129" t="str">
        <x:v>B1</x:v>
      </x:c>
      <x:c r="H3" s="129" t="str">
        <x:v>phone = "944433222"</x:v>
      </x:c>
      <x:c r="I3" s="129" t="str">
        <x:v>IB1</x:v>
      </x:c>
    </x:row>
    <x:row r="4" ht="42" customHeight="1">
      <x:c r="A4" s="130" t="str">
        <x:v>otp</x:v>
      </x:c>
      <x:c r="B4" s="129" t="str">
        <x:v>otp = "482615"</x:v>
      </x:c>
      <x:c r="C4" s="129" t="str">
        <x:v>V2</x:v>
      </x:c>
      <x:c r="D4" s="129" t="str">
        <x:v>otp = "48261"</x:v>
      </x:c>
      <x:c r="E4" s="129" t="str">
        <x:v>I2</x:v>
      </x:c>
      <x:c r="F4" s="129" t="str">
        <x:v>otp = "482615"</x:v>
      </x:c>
      <x:c r="G4" s="129" t="str">
        <x:v>B2</x:v>
      </x:c>
      <x:c r="H4" s="129" t="str">
        <x:v>otp = "48261"</x:v>
      </x:c>
      <x:c r="I4" s="129" t="str">
        <x:v>IB2</x:v>
      </x:c>
    </x:row>
    <x:row r="5" ht="42" customHeight="1">
      <x:c r="A5" s="130" t="str">
        <x:v>password</x:v>
      </x:c>
      <x:c r="B5" s="129" t="str">
        <x:v>password = "Clinic@123"</x:v>
      </x:c>
      <x:c r="C5" s="129" t="str">
        <x:v>V3</x:v>
      </x:c>
      <x:c r="D5" s="129" t="str">
        <x:v>password = "abc"</x:v>
      </x:c>
      <x:c r="E5" s="129" t="str">
        <x:v>I3</x:v>
      </x:c>
      <x:c r="F5" s="129" t="str">
        <x:v>password = "Clinic@123"</x:v>
      </x:c>
      <x:c r="G5" s="129" t="str">
        <x:v>B3</x:v>
      </x:c>
      <x:c r="H5" s="129" t="str">
        <x:v>password = "abc"</x:v>
      </x:c>
      <x:c r="I5" s="129" t="str">
        <x:v>IB3</x:v>
      </x:c>
    </x:row>
    <x:row r="6" ht="42" customHeight="1">
      <x:c r="A6" s="130" t="str">
        <x:v>fullName</x:v>
      </x:c>
      <x:c r="B6" s="129" t="str">
        <x:v>fullName = "John Carter"</x:v>
      </x:c>
      <x:c r="C6" s="129" t="str">
        <x:v>V4</x:v>
      </x:c>
      <x:c r="D6" s="129" t="str">
        <x:v>fullName = ""</x:v>
      </x:c>
      <x:c r="E6" s="129" t="str">
        <x:v>I4</x:v>
      </x:c>
      <x:c r="F6" s="129" t="str">
        <x:v>fullName = "John Carter"</x:v>
      </x:c>
      <x:c r="G6" s="129" t="str">
        <x:v>B4</x:v>
      </x:c>
      <x:c r="H6" s="129" t="str">
        <x:v>fullName = ""</x:v>
      </x:c>
      <x:c r="I6" s="129" t="str">
        <x:v>IB4</x:v>
      </x:c>
    </x:row>
    <x:row r="7" ht="42" customHeight="1">
      <x:c r="A7" s="130" t="str">
        <x:v>dateOfBirth</x:v>
      </x:c>
      <x:c r="B7" s="129" t="str">
        <x:v>dateOfBirth = "1998-05-20"</x:v>
      </x:c>
      <x:c r="C7" s="129" t="str">
        <x:v>V5</x:v>
      </x:c>
      <x:c r="D7" s="129" t="str">
        <x:v>dateOfBirth = "2027-01-01"</x:v>
      </x:c>
      <x:c r="E7" s="129" t="str">
        <x:v>I5</x:v>
      </x:c>
      <x:c r="F7" s="129" t="str">
        <x:v>dateOfBirth = "1998-05-20"</x:v>
      </x:c>
      <x:c r="G7" s="129" t="str">
        <x:v>B5</x:v>
      </x:c>
      <x:c r="H7" s="129" t="str">
        <x:v>dateOfBirth = "2027-01-01"</x:v>
      </x:c>
      <x:c r="I7" s="129" t="str">
        <x:v>IB5</x:v>
      </x:c>
    </x:row>
    <x:row r="8" ht="42" customHeight="1">
      <x:c r="A8" s="130" t="str">
        <x:v>phone uniqueness</x:v>
      </x:c>
      <x:c r="B8" s="129" t="str">
        <x:v>account.phone.count = 0</x:v>
      </x:c>
      <x:c r="C8" s="129" t="str">
        <x:v>V6</x:v>
      </x:c>
      <x:c r="D8" s="129" t="str">
        <x:v>account.phone.count = 1</x:v>
      </x:c>
      <x:c r="E8" s="129" t="str">
        <x:v>I6</x:v>
      </x:c>
      <x:c r="F8" s="129" t="str">
        <x:v>account.phone.count = 0</x:v>
      </x:c>
      <x:c r="G8" s="129" t="str">
        <x:v>B6</x:v>
      </x:c>
      <x:c r="H8" s="129" t="str">
        <x:v>account.phone.count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>
      <x:c r="A9" s="130"/>
      <x:c r="B9" s="129"/>
      <x:c r="C9" s="129"/>
      <x:c r="D9" s="129"/>
      <x:c r="E9" s="129"/>
      <x:c r="F9" s="129"/>
      <x:c r="G9" s="129"/>
      <x:c r="H9" s="129"/>
      <x:c r="I9" s="129"/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phone = "0944433222"
otp = "482615"
password = "Clinic@123"
fullName = "John Carter"
dateOfBirth = "1998-05-20"
POST /api/auth/register</x:v>
      </x:c>
      <x:c r="C3" s="151" t="str">
        <x:v>httpStatus = 201
response.accessToken != null
account.phone = "0944433222"
account.systemRole = "CUSTOMER"
profile.fullName = "John Carter"</x:v>
      </x:c>
      <x:c r="D3" s="151" t="str">
        <x:v>V1, V2, V3, V4, V5, V6</x:v>
      </x:c>
    </x:row>
    <x:row r="4" ht="82" customHeight="1">
      <x:c r="A4" s="152" t="n">
        <x:v>2</x:v>
      </x:c>
      <x:c r="B4" s="151" t="str">
        <x:v>phone = "0944433222"
otp = "48261"
POST /api/auth/verify-register-otp</x:v>
      </x:c>
      <x:c r="C4" s="151" t="str">
        <x:v>httpStatus = 400
response.code = "INVALID_OTP"
redis.otpVerified["0944433222"] = null</x:v>
      </x:c>
      <x:c r="D4" s="151" t="str">
        <x:v>B2</x:v>
      </x:c>
    </x:row>
    <x:row r="5" ht="82" customHeight="1">
      <x:c r="A5" s="152" t="n">
        <x:v>3</x:v>
      </x:c>
      <x:c r="B5" s="151" t="str">
        <x:v>phone = "0944433222"
password = "Clinic@123"
POST /api/auth/register</x:v>
      </x:c>
      <x:c r="C5" s="151" t="str">
        <x:v>httpStatus = 400
response.code = "OTP_NOT_VERIFIED"
account.phone.count = 0</x:v>
      </x:c>
      <x:c r="D5" s="151" t="str">
        <x:v>I2</x:v>
      </x:c>
    </x:row>
    <x:row r="6" ht="82" customHeight="1">
      <x:c r="A6" s="152" t="n">
        <x:v>4</x:v>
      </x:c>
      <x:c r="B6" s="151" t="str">
        <x:v>phone = "0944433222"
password = "abc"
POST /api/auth/register</x:v>
      </x:c>
      <x:c r="C6" s="151" t="str">
        <x:v>httpStatus = 400
response.code = "VALIDATION_ERROR"
account.phone.count = 0</x:v>
      </x:c>
      <x:c r="D6" s="151" t="str">
        <x:v>I3</x:v>
      </x:c>
    </x:row>
    <x:row r="7" ht="82" customHeight="1">
      <x:c r="A7" s="152" t="n">
        <x:v>5</x:v>
      </x:c>
      <x:c r="B7" s="151" t="str">
        <x:v>phone = "0944433222"
password = "Clinic@123"
POST /api/auth/register</x:v>
      </x:c>
      <x:c r="C7" s="151" t="str">
        <x:v>httpStatus = 409
response.code = "PHONE_ALREADY_EXISTS"
account.phone.count = 1</x:v>
      </x:c>
      <x:c r="D7" s="151" t="str">
        <x:v>I6</x:v>
      </x:c>
    </x:row>
    <x:row r="8" ht="82" customHeight="1">
      <x:c r="A8" s="152" t="n">
        <x:v>6</x:v>
      </x:c>
      <x:c r="B8" s="151" t="str">
        <x:v>phone = "0988776655"
dateOfBirth = "2027-01-01"
POST /api/auth/register</x:v>
      </x:c>
      <x:c r="C8" s="151" t="str">
        <x:v>httpStatus = 400
response.code = "INVALID_DATE_OF_BIRTH"
account.phone.count = 0</x:v>
      </x:c>
      <x:c r="D8" s="151" t="str">
        <x:v>I5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7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IT04 - Appointment booking and check-in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Profile -&gt; Appointment -&gt; Visit -&gt; Invoice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IT04-001</ns0:v>
      </ns0:c>
      <ns0:c r="B12" s="39" t="str">
        <ns0:v>Create or process appointment booking and check-in</ns0:v>
      </ns0:c>
      <ns0:c r="C12" s="39" t="str">
        <ns0:v>customerId = "CUS-1001"
scheduledAt = "2026-08-13T09:00:00"
serviceId = "SRV-GENERAL-01"
POST /api/v1/appointments</ns0:v>
      </ns0:c>
      <ns0:c r="D12" s="45" t="str">
        <ns0:v>httpStatus = 200
response.flow = "IT04"
database.updatedRows = 1</ns0:v>
      </ns0:c>
      <ns0:c r="E12" s="39" t="str">
        <ns0:v>customerId = "CUS-1001"
scheduledAt = "2026-08-13T09:00:00"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IT04-002</ns0:v>
      </ns0:c>
      <ns0:c r="B13" s="39" t="str">
        <ns0:v>Reject invalid customerId</ns0:v>
      </ns0:c>
      <ns0:c r="C13" s="39" t="str">
        <ns0:v>customerId = "CUS-9999"
scheduledAt = "2026-08-13T09:00:00"
POST /api/v1/appointments</ns0:v>
      </ns0:c>
      <ns0:c r="D13" s="45" t="str">
        <ns0:v>httpStatus = 404
response.code = "APPOINTMENT_NOT_FOUND"
database.updatedRows = 0</ns0:v>
      </ns0:c>
      <ns0:c r="E13" s="39" t="str">
        <ns0:v>customerId = "CUS-9999"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05" customHeight="1">
      <ns0:c r="A14" s="39" t="str">
        <ns0:v>Invalid concrete input values</ns0:v>
      </ns0:c>
      <ns0:c r="B14" s="39"/>
      <ns0:c r="C14" s="39"/>
      <ns0:c r="D14" s="45"/>
      <ns0:c r="E14" s="39"/>
      <ns0:c r="F14" s="39"/>
      <ns0:c r="G14"/>
      <ns0:c r="H14"/>
      <ns0:c r="I14" s="39"/>
      <ns0:c r="J14"/>
      <ns0:c r="K14"/>
      <ns0:c r="L14" s="39"/>
      <ns0:c r="M14"/>
      <ns0:c r="N14"/>
      <ns0:c r="O14" s="39"/>
      <ns0:c r="Q14" s="43"/>
    </ns0:row>
    <ns0:row r="15" s="30" customFormat="1" ht="18" customHeight="1">
      <ns0:c r="A15" s="79" t="str">
        <ns0:v>IT04-003</ns0:v>
      </ns0:c>
      <ns0:c r="B15" t="str">
        <ns0:v>Reject invalid scheduledAt</ns0:v>
      </ns0:c>
      <ns0:c r="C15" t="str">
        <ns0:v>customerId = "CUS-1001"
scheduledAt = "2026-08-11T09:00:00"
POST /api/v1/appointments</ns0:v>
      </ns0:c>
      <ns0:c r="D15" t="str">
        <ns0:v>httpStatus = 400
response.code = "INVALID_SCHEDULEDAT"
database.updatedRows = 0</ns0:v>
      </ns0:c>
      <ns0:c r="E15" t="str">
        <ns0:v>customerId = "CUS-1001"</ns0:v>
      </ns0:c>
      <ns0:c r="F15" t="str">
        <ns0:v>Pending</ns0:v>
      </ns0:c>
      <ns0:c r="G15"/>
      <ns0:c r="H15"/>
      <ns0:c r="I15" t="str">
        <ns0:v>Pending</ns0:v>
      </ns0:c>
      <ns0:c r="J15"/>
      <ns0:c r="K15"/>
      <ns0:c r="L15" t="str">
        <ns0:v>Pending</ns0:v>
      </ns0:c>
      <ns0:c r="M15"/>
      <ns0:c r="N15"/>
      <ns0:c r="O15" t="str">
        <ns0:v>I2</ns0:v>
      </ns0:c>
      <ns0:c r="Q15" s="38"/>
    </ns0:row>
    <ns0:row r="16" ht="105" customHeight="1">
      <ns0:c r="A16" s="39" t="str">
        <ns0:v>IT04-004</ns0:v>
      </ns0:c>
      <ns0:c r="B16" s="39" t="str">
        <ns0:v>Accept boundary value for appointment status</ns0:v>
      </ns0:c>
      <ns0:c r="C16" s="39" t="str">
        <ns0:v>appointment.status = "PENDING"
activeVisit.count = 0
POST /api/v1/appointments</ns0:v>
      </ns0:c>
      <ns0:c r="D16" s="45" t="str">
        <ns0:v>httpStatus = 200
response.appointmentstatus = "\"PENDING\""
database.updatedRows = 1</ns0:v>
      </ns0:c>
      <ns0:c r="E16" s="39" t="str">
        <ns0:v>customerId = "CUS-1001"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IT04-005</ns0:v>
      </ns0:c>
      <ns0:c r="B18" s="39" t="str">
        <ns0:v>Reject invalid active visit</ns0:v>
      </ns0:c>
      <ns0:c r="C18" s="39" t="str">
        <ns0:v>activeVisit.count = 1
POST /api/v1/appointments</ns0:v>
      </ns0:c>
      <ns0:c r="D18" s="45" t="str">
        <ns0:v>httpStatus = 400
response.code = "INVALID_ACTIVE_VISIT"
database.updatedRows = 0</ns0:v>
      </ns0:c>
      <ns0:c r="E18" s="39" t="str">
        <ns0:v>customerId = "CUS-1001"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IT04-006</ns0:v>
      </ns0:c>
      <ns0:c r="B19" s="39" t="str">
        <ns0:v>Reject invalid staff role</ns0:v>
      </ns0:c>
      <ns0:c r="C19" s="39" t="str">
        <ns0:v>staff.systemRole = "CUSTOMER"
POST /api/v1/appointments</ns0:v>
      </ns0:c>
      <ns0:c r="D19" s="45" t="str">
        <ns0:v>httpStatus = 409
response.code = "INVALID_STAFF_ROLE"
database.updatedRows = 0</ns0:v>
      </ns0:c>
      <ns0:c r="E19" s="39" t="str">
        <ns0:v>staff.systemRole = "CUSTOMER"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8.xml><?xml version="1.0" encoding="utf-8"?>
<x:worksheet xmlns:x="http://schemas.openxmlformats.org/spreadsheetml/2006/main">
  <x:sheetFormatPr defaultRowHeight="14.25"/>
  <x:cols>
    <x:col min="1" max="1" width="11.875" style="153" customWidth="1"/>
    <x:col min="2" max="2" width="33" style="153" customWidth="1"/>
    <x:col min="3" max="3" width="29.625" style="153" customWidth="1"/>
    <x:col min="4" max="16384" width="9" style="153" customWidth="0"/>
  </x:cols>
  <x:sheetData>
    <x:row r="1">
      <x:c r="A1" s="83" t="s">
        <x:v>38</x:v>
      </x:c>
      <x:c r="B1" s="83" t="s">
        <x:v>18</x:v>
      </x:c>
      <x:c r="C1" s="83" t="s">
        <x:v>39</x:v>
      </x:c>
    </x:row>
    <x:row r="2">
      <x:c r="A2" s="154" t="str">
        <x:v>IT01-INVALID</x:v>
      </x:c>
      <x:c r="B2" s="154" t="str">
        <x:v>The submitted variable value is invalid.</x:v>
      </x:c>
      <x:c r="C2" s="154" t="str">
        <x:v>IT01</x:v>
      </x:c>
    </x:row>
    <x:row r="3">
      <x:c r="A3" s="154" t="str">
        <x:v>IT01-STATE</x:v>
      </x:c>
      <x:c r="B3" s="154" t="str">
        <x:v>The stored entity state does not allow this operation.</x:v>
      </x:c>
      <x:c r="C3" s="154" t="str">
        <x:v>IT01</x:v>
      </x:c>
    </x:row>
    <x:row r="4">
      <x:c r="A4" s="154" t="str">
        <x:v>IT02-INVALID</x:v>
      </x:c>
      <x:c r="B4" s="154" t="str">
        <x:v>The submitted variable value is invalid.</x:v>
      </x:c>
      <x:c r="C4" s="154" t="str">
        <x:v>IT02</x:v>
      </x:c>
    </x:row>
    <x:row r="5">
      <x:c r="A5" s="154" t="str">
        <x:v>IT02-STATE</x:v>
      </x:c>
      <x:c r="B5" s="154" t="str">
        <x:v>The stored entity state does not allow this operation.</x:v>
      </x:c>
      <x:c r="C5" s="154" t="str">
        <x:v>IT02</x:v>
      </x:c>
    </x:row>
    <x:row r="6">
      <x:c r="A6" s="154" t="str">
        <x:v>IT03-INVALID</x:v>
      </x:c>
      <x:c r="B6" s="154" t="str">
        <x:v>The submitted variable value is invalid.</x:v>
      </x:c>
      <x:c r="C6" s="154" t="str">
        <x:v>IT03</x:v>
      </x:c>
    </x:row>
    <x:row r="7">
      <x:c r="A7" s="154" t="str">
        <x:v>IT03-STATE</x:v>
      </x:c>
      <x:c r="B7" s="154" t="str">
        <x:v>The stored entity state does not allow this operation.</x:v>
      </x:c>
      <x:c r="C7" s="154" t="str">
        <x:v>IT03</x:v>
      </x:c>
    </x:row>
    <x:row r="8">
      <x:c r="A8" s="154" t="str">
        <x:v>IT04-INVALID</x:v>
      </x:c>
      <x:c r="B8" s="154" t="str">
        <x:v>The submitted variable value is invalid.</x:v>
      </x:c>
      <x:c r="C8" s="154" t="str">
        <x:v>IT04</x:v>
      </x:c>
    </x:row>
    <x:row r="9">
      <x:c r="A9" s="154" t="str">
        <x:v>IT04-STATE</x:v>
      </x:c>
      <x:c r="B9" s="154" t="str">
        <x:v>The stored entity state does not allow this operation.</x:v>
      </x:c>
      <x:c r="C9" s="154" t="str">
        <x:v>IT04</x:v>
      </x:c>
    </x:row>
    <x:row r="10">
      <x:c r="A10" s="154" t="str">
        <x:v>IT05-INVALID</x:v>
      </x:c>
      <x:c r="B10" s="154" t="str">
        <x:v>The submitted variable value is invalid.</x:v>
      </x:c>
      <x:c r="C10" s="154" t="str">
        <x:v>IT05</x:v>
      </x:c>
    </x:row>
    <x:row r="11">
      <x:c r="A11" s="154" t="str">
        <x:v>IT05-STATE</x:v>
      </x:c>
      <x:c r="B11" s="154" t="str">
        <x:v>The stored entity state does not allow this operation.</x:v>
      </x:c>
      <x:c r="C11" s="154" t="str">
        <x:v>IT05</x:v>
      </x:c>
    </x:row>
    <x:row r="12">
      <x:c r="A12" s="154" t="str">
        <x:v>IT06-INVALID</x:v>
      </x:c>
      <x:c r="B12" s="154" t="str">
        <x:v>The submitted variable value is invalid.</x:v>
      </x:c>
      <x:c r="C12" s="154" t="str">
        <x:v>IT06</x:v>
      </x:c>
    </x:row>
    <x:row r="13">
      <x:c r="A13" s="154" t="str">
        <x:v>IT06-STATE</x:v>
      </x:c>
      <x:c r="B13" s="154" t="str">
        <x:v>The stored entity state does not allow this operation.</x:v>
      </x:c>
      <x:c r="C13" s="154" t="str">
        <x:v>IT06</x:v>
      </x:c>
    </x:row>
    <x:row r="14">
      <x:c r="A14" s="154" t="str">
        <x:v>IT07-INVALID</x:v>
      </x:c>
      <x:c r="B14" s="154" t="str">
        <x:v>The submitted variable value is invalid.</x:v>
      </x:c>
      <x:c r="C14" s="154" t="str">
        <x:v>IT07</x:v>
      </x:c>
    </x:row>
    <x:row r="15">
      <x:c r="A15" s="154" t="str">
        <x:v>IT07-STATE</x:v>
      </x:c>
      <x:c r="B15" s="154" t="str">
        <x:v>The stored entity state does not allow this operation.</x:v>
      </x:c>
      <x:c r="C15" s="154" t="str">
        <x:v>IT07</x:v>
      </x:c>
    </x:row>
    <x:row r="16">
      <x:c r="A16" s="154" t="str">
        <x:v>IT08-INVALID</x:v>
      </x:c>
      <x:c r="B16" s="154" t="str">
        <x:v>The submitted variable value is invalid.</x:v>
      </x:c>
      <x:c r="C16" s="154" t="str">
        <x:v>IT08</x:v>
      </x:c>
    </x:row>
    <x:row r="17">
      <x:c r="A17" s="154" t="str">
        <x:v>IT08-STATE</x:v>
      </x:c>
      <x:c r="B17" s="154" t="str">
        <x:v>The stored entity state does not allow this operation.</x:v>
      </x:c>
      <x:c r="C17" s="154" t="str">
        <x:v>IT08</x:v>
      </x:c>
    </x:row>
    <x:row r="18">
      <x:c r="A18" s="154" t="str">
        <x:v>IT09-INVALID</x:v>
      </x:c>
      <x:c r="B18" s="154" t="str">
        <x:v>The submitted variable value is invalid.</x:v>
      </x:c>
      <x:c r="C18" s="154" t="str">
        <x:v>IT09</x:v>
      </x:c>
    </x:row>
    <x:row r="19">
      <x:c r="A19" s="154" t="str">
        <x:v>IT09-STATE</x:v>
      </x:c>
      <x:c r="B19" s="154" t="str">
        <x:v>The stored entity state does not allow this operation.</x:v>
      </x:c>
      <x:c r="C19" s="154" t="str">
        <x:v>IT09</x:v>
      </x:c>
    </x:row>
    <x:row r="20">
      <x:c r="A20" s="154" t="str">
        <x:v>IT10-INVALID</x:v>
      </x:c>
      <x:c r="B20" s="154" t="str">
        <x:v>The submitted variable value is invalid.</x:v>
      </x:c>
      <x:c r="C20" s="154" t="str">
        <x:v>IT10</x:v>
      </x:c>
    </x:row>
    <x:row r="21">
      <x:c r="A21" s="154" t="str">
        <x:v>IT10-STATE</x:v>
      </x:c>
      <x:c r="B21" s="154" t="str">
        <x:v>The stored entity state does not allow this operation.</x:v>
      </x:c>
      <x:c r="C21" s="154" t="str">
        <x:v>IT10</x:v>
      </x:c>
    </x:row>
    <x:row r="22">
      <x:c r="A22" s="154" t="str">
        <x:v>IT11-INVALID</x:v>
      </x:c>
      <x:c r="B22" s="154" t="str">
        <x:v>The submitted variable value is invalid.</x:v>
      </x:c>
      <x:c r="C22" s="154" t="str">
        <x:v>IT11</x:v>
      </x:c>
    </x:row>
    <x:row r="23">
      <x:c r="A23" s="154" t="str">
        <x:v>IT11-STATE</x:v>
      </x:c>
      <x:c r="B23" s="154" t="str">
        <x:v>The stored entity state does not allow this operation.</x:v>
      </x:c>
      <x:c r="C23" s="154" t="str">
        <x:v>IT11</x:v>
      </x:c>
    </x:row>
    <x:row r="24">
      <x:c r="A24" s="154" t="str">
        <x:v>IT12-INVALID</x:v>
      </x:c>
      <x:c r="B24" s="154" t="str">
        <x:v>The submitted variable value is invalid.</x:v>
      </x:c>
      <x:c r="C24" s="154" t="str">
        <x:v>IT12</x:v>
      </x:c>
    </x:row>
    <x:row r="25">
      <x:c r="A25" s="154" t="str">
        <x:v>IT12-STATE</x:v>
      </x:c>
      <x:c r="B25" s="154" t="str">
        <x:v>The stored entity state does not allow this operation.</x:v>
      </x:c>
      <x:c r="C25" s="154" t="str">
        <x:v>IT12</x:v>
      </x:c>
    </x:row>
    <x:row r="26">
      <x:c r="A26" s="154" t="str">
        <x:v>IT13-INVALID</x:v>
      </x:c>
      <x:c r="B26" s="154" t="str">
        <x:v>The submitted variable value is invalid.</x:v>
      </x:c>
      <x:c r="C26" s="154" t="str">
        <x:v>IT13</x:v>
      </x:c>
    </x:row>
    <x:row r="27">
      <x:c r="A27" s="154" t="str">
        <x:v>IT13-STATE</x:v>
      </x:c>
      <x:c r="B27" s="154" t="str">
        <x:v>The stored entity state does not allow this operation.</x:v>
      </x:c>
      <x:c r="C27" s="154" t="str">
        <x:v>IT13</x:v>
      </x:c>
    </x:row>
    <x:row r="28">
      <x:c r="A28" s="154" t="str">
        <x:v>IT14-INVALID</x:v>
      </x:c>
      <x:c r="B28" s="154" t="str">
        <x:v>The submitted variable value is invalid.</x:v>
      </x:c>
      <x:c r="C28" s="154" t="str">
        <x:v>IT14</x:v>
      </x:c>
    </x:row>
    <x:row r="29">
      <x:c r="A29" s="154" t="str">
        <x:v>IT14-STATE</x:v>
      </x:c>
      <x:c r="B29" s="154" t="str">
        <x:v>The stored entity state does not allow this operation.</x:v>
      </x:c>
      <x:c r="C29" s="154" t="str">
        <x:v>IT14</x:v>
      </x:c>
    </x:row>
    <x:row r="30">
      <x:c r="A30" s="154" t="str">
        <x:v>IT15-INVALID</x:v>
      </x:c>
      <x:c r="B30" s="154" t="str">
        <x:v>The submitted variable value is invalid.</x:v>
      </x:c>
      <x:c r="C30" s="154" t="str">
        <x:v>IT15</x:v>
      </x:c>
    </x:row>
    <x:row r="31">
      <x:c r="A31" s="154" t="str">
        <x:v>IT15-STATE</x:v>
      </x:c>
      <x:c r="B31" s="154" t="str">
        <x:v>The stored entity state does not allow this operation.</x:v>
      </x:c>
      <x:c r="C31" s="154" t="str">
        <x:v>IT15</x:v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customerId</x:v>
      </x:c>
      <x:c r="B3" s="129" t="str">
        <x:v>customerId = "CUS-1001"</x:v>
      </x:c>
      <x:c r="C3" s="129" t="str">
        <x:v>V1</x:v>
      </x:c>
      <x:c r="D3" s="129" t="str">
        <x:v>customerId = "CUS-9999"</x:v>
      </x:c>
      <x:c r="E3" s="129" t="str">
        <x:v>I1</x:v>
      </x:c>
      <x:c r="F3" s="129" t="str">
        <x:v>customerId = "CUS-1001"</x:v>
      </x:c>
      <x:c r="G3" s="129" t="str">
        <x:v>B1</x:v>
      </x:c>
      <x:c r="H3" s="129" t="str">
        <x:v>customerId = "CUS-9999"</x:v>
      </x:c>
      <x:c r="I3" s="129" t="str">
        <x:v>IB1</x:v>
      </x:c>
    </x:row>
    <x:row r="4" ht="42" customHeight="1">
      <x:c r="A4" s="130" t="str">
        <x:v>scheduledAt</x:v>
      </x:c>
      <x:c r="B4" s="129" t="str">
        <x:v>scheduledAt = "2026-08-13T09:00:00"</x:v>
      </x:c>
      <x:c r="C4" s="129" t="str">
        <x:v>V2</x:v>
      </x:c>
      <x:c r="D4" s="129" t="str">
        <x:v>scheduledAt = "2026-08-11T09:00:00"</x:v>
      </x:c>
      <x:c r="E4" s="129" t="str">
        <x:v>I2</x:v>
      </x:c>
      <x:c r="F4" s="129" t="str">
        <x:v>scheduledAt = "2026-08-13T09:00:00"</x:v>
      </x:c>
      <x:c r="G4" s="129" t="str">
        <x:v>B2</x:v>
      </x:c>
      <x:c r="H4" s="129" t="str">
        <x:v>scheduledAt = "2026-08-11T09:00:00"</x:v>
      </x:c>
      <x:c r="I4" s="129" t="str">
        <x:v>IB2</x:v>
      </x:c>
    </x:row>
    <x:row r="5" ht="42" customHeight="1">
      <x:c r="A5" s="130" t="str">
        <x:v>serviceId</x:v>
      </x:c>
      <x:c r="B5" s="129" t="str">
        <x:v>serviceId = "SRV-GENERAL-01"</x:v>
      </x:c>
      <x:c r="C5" s="129" t="str">
        <x:v>V3</x:v>
      </x:c>
      <x:c r="D5" s="129" t="str">
        <x:v>serviceId = "SRV-UNKNOWN"</x:v>
      </x:c>
      <x:c r="E5" s="129" t="str">
        <x:v>I3</x:v>
      </x:c>
      <x:c r="F5" s="129" t="str">
        <x:v>serviceId = "SRV-GENERAL-01"</x:v>
      </x:c>
      <x:c r="G5" s="129" t="str">
        <x:v>B3</x:v>
      </x:c>
      <x:c r="H5" s="129" t="str">
        <x:v>serviceId = "SRV-UNKNOWN"</x:v>
      </x:c>
      <x:c r="I5" s="129" t="str">
        <x:v>IB3</x:v>
      </x:c>
    </x:row>
    <x:row r="6" ht="42" customHeight="1">
      <x:c r="A6" s="130" t="str">
        <x:v>appointment status</x:v>
      </x:c>
      <x:c r="B6" s="129" t="str">
        <x:v>appointment.status = "PENDING"</x:v>
      </x:c>
      <x:c r="C6" s="129" t="str">
        <x:v>V4</x:v>
      </x:c>
      <x:c r="D6" s="129" t="str">
        <x:v>appointment.status = "CHECKED_IN"</x:v>
      </x:c>
      <x:c r="E6" s="129" t="str">
        <x:v>I4</x:v>
      </x:c>
      <x:c r="F6" s="129" t="str">
        <x:v>appointment.status = "PENDING"</x:v>
      </x:c>
      <x:c r="G6" s="129" t="str">
        <x:v>B4</x:v>
      </x:c>
      <x:c r="H6" s="129" t="str">
        <x:v>appointment.status = "CHECKED_IN"</x:v>
      </x:c>
      <x:c r="I6" s="129" t="str">
        <x:v>IB4</x:v>
      </x:c>
    </x:row>
    <x:row r="7" ht="42" customHeight="1">
      <x:c r="A7" s="130" t="str">
        <x:v>active visit</x:v>
      </x:c>
      <x:c r="B7" s="129" t="str">
        <x:v>activeVisit.count = 0</x:v>
      </x:c>
      <x:c r="C7" s="129" t="str">
        <x:v>V5</x:v>
      </x:c>
      <x:c r="D7" s="129" t="str">
        <x:v>activeVisit.count = 1</x:v>
      </x:c>
      <x:c r="E7" s="129" t="str">
        <x:v>I5</x:v>
      </x:c>
      <x:c r="F7" s="129" t="str">
        <x:v>activeVisit.count = 0</x:v>
      </x:c>
      <x:c r="G7" s="129" t="str">
        <x:v>B5</x:v>
      </x:c>
      <x:c r="H7" s="129" t="str">
        <x:v>activeVisit.count = 1</x:v>
      </x:c>
      <x:c r="I7" s="129" t="str">
        <x:v>IB5</x:v>
      </x:c>
    </x:row>
    <x:row r="8" ht="42" customHeight="1">
      <x:c r="A8" s="130" t="str">
        <x:v>staff role</x:v>
      </x:c>
      <x:c r="B8" s="129" t="str">
        <x:v>staff.systemRole = "RECEPTIONIST"</x:v>
      </x:c>
      <x:c r="C8" s="129" t="str">
        <x:v>V6</x:v>
      </x:c>
      <x:c r="D8" s="129" t="str">
        <x:v>staff.systemRole = "CUSTOMER"</x:v>
      </x:c>
      <x:c r="E8" s="129" t="str">
        <x:v>I6</x:v>
      </x:c>
      <x:c r="F8" s="129" t="str">
        <x:v>staff.systemRole = "RECEPTIONIST"</x:v>
      </x:c>
      <x:c r="G8" s="129" t="str">
        <x:v>B6</x:v>
      </x:c>
      <x:c r="H8" s="129" t="str">
        <x:v>staff.systemRole = "CUSTOMER"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>
      <x:c r="A9" s="130"/>
      <x:c r="B9" s="129"/>
      <x:c r="C9" s="129"/>
      <x:c r="D9" s="129"/>
      <x:c r="E9" s="129"/>
      <x:c r="F9" s="129"/>
      <x:c r="G9" s="129"/>
      <x:c r="H9" s="129"/>
      <x:c r="I9" s="129"/>
    </x:row>
    <x:row r="10" ht="42" customHeight="1">
      <x:c r="A10" s="130"/>
      <x:c r="B10" s="129"/>
      <x:c r="C10" s="129"/>
      <x:c r="D10" s="129"/>
      <x:c r="E10" s="129"/>
      <x:c r="F10" s="129"/>
      <x:c r="G10" s="129"/>
      <x:c r="H10" s="129"/>
      <x:c r="I10" s="129"/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customerId = "CUS-1001"
scheduledAt = "2026-08-13T09:00:00"
serviceId = "SRV-GENERAL-01"
POST /api/v1/appointments</x:v>
      </x:c>
      <x:c r="C3" s="151" t="str">
        <x:v>httpStatus = 200
response.flow = "IT04"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customerId = "CUS-9999"
scheduledAt = "2026-08-13T09:00:00"
POST /api/v1/appointments</x:v>
      </x:c>
      <x:c r="C4" s="151" t="str">
        <x:v>httpStatus = 404
response.code = "APPOINTMENT_NOT_FOUND"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customerId = "CUS-1001"
scheduledAt = "2026-08-11T09:00:00"
POST /api/v1/appointments</x:v>
      </x:c>
      <x:c r="C5" s="151" t="str">
        <x:v>httpStatus = 400
response.code = "INVALID_SCHEDULEDAT"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appointment.status = "PENDING"
activeVisit.count = 0
POST /api/v1/appointments</x:v>
      </x:c>
      <x:c r="C6" s="151" t="str">
        <x:v>httpStatus = 200
response.appointmentstatus = "\"PENDING\""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activeVisit.count = 1
POST /api/v1/appointments</x:v>
      </x:c>
      <x:c r="C7" s="151" t="str">
        <x:v>httpStatus = 400
response.code = "INVALID_ACTIVE_VISIT"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staff.systemRole = "CUSTOMER"
POST /api/v1/appointments</x:v>
      </x:c>
      <x:c r="C8" s="151" t="str">
        <x:v>httpStatus = 409
response.code = "INVALID_STAFF_ROLE"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request status</x:v>
      </x:c>
      <x:c r="B3" s="129" t="str">
        <x:v>testRequest.status = "IN_PROGRESS"</x:v>
      </x:c>
      <x:c r="C3" s="129" t="str">
        <x:v>V1</x:v>
      </x:c>
      <x:c r="D3" s="129" t="str">
        <x:v>testRequest.status = "COMPLETED"</x:v>
      </x:c>
      <x:c r="E3" s="129" t="str">
        <x:v>I1</x:v>
      </x:c>
      <x:c r="F3" s="129" t="str">
        <x:v>testRequest.status = "IN_PROGRESS"</x:v>
      </x:c>
      <x:c r="G3" s="129" t="str">
        <x:v>B1</x:v>
      </x:c>
      <x:c r="H3" s="129" t="str">
        <x:v>testRequest.status = "COMPLETED"</x:v>
      </x:c>
      <x:c r="I3" s="129" t="str">
        <x:v>IB1</x:v>
      </x:c>
    </x:row>
    <x:row r="4" ht="42" customHeight="1">
      <x:c r="A4" s="130" t="str">
        <x:v>resultFile</x:v>
      </x:c>
      <x:c r="B4" s="129" t="str">
        <x:v>resultFile = "cbc-result.pdf"</x:v>
      </x:c>
      <x:c r="C4" s="129" t="str">
        <x:v>V2</x:v>
      </x:c>
      <x:c r="D4" s="129" t="str">
        <x:v>resultFile = "cbc-result.jpg"</x:v>
      </x:c>
      <x:c r="E4" s="129" t="str">
        <x:v>I2</x:v>
      </x:c>
      <x:c r="F4" s="129" t="str">
        <x:v>resultFile = "cbc-result.pdf"</x:v>
      </x:c>
      <x:c r="G4" s="129" t="str">
        <x:v>B2</x:v>
      </x:c>
      <x:c r="H4" s="129" t="str">
        <x:v>resultFile = "cbc-result.jpg"</x:v>
      </x:c>
      <x:c r="I4" s="129" t="str">
        <x:v>IB2</x:v>
      </x:c>
    </x:row>
    <x:row r="5" ht="42" customHeight="1">
      <x:c r="A5" s="130" t="str">
        <x:v>fileSize</x:v>
      </x:c>
      <x:c r="B5" s="129" t="str">
        <x:v>fileSize = 1048576</x:v>
      </x:c>
      <x:c r="C5" s="129" t="str">
        <x:v>V3</x:v>
      </x:c>
      <x:c r="D5" s="129" t="str">
        <x:v>fileSize = 10485761</x:v>
      </x:c>
      <x:c r="E5" s="129" t="str">
        <x:v>I3</x:v>
      </x:c>
      <x:c r="F5" s="129" t="str">
        <x:v>fileSize = 1048576</x:v>
      </x:c>
      <x:c r="G5" s="129" t="str">
        <x:v>B3</x:v>
      </x:c>
      <x:c r="H5" s="129" t="str">
        <x:v>fileSize = 10485761</x:v>
      </x:c>
      <x:c r="I5" s="129" t="str">
        <x:v>IB3</x:v>
      </x:c>
    </x:row>
    <x:row r="6" ht="42" customHeight="1">
      <x:c r="A6" s="130" t="str">
        <x:v>conclusion</x:v>
      </x:c>
      <x:c r="B6" s="129" t="str">
        <x:v>conclusion = "CBC values within reference range"</x:v>
      </x:c>
      <x:c r="C6" s="129" t="str">
        <x:v>V4</x:v>
      </x:c>
      <x:c r="D6" s="129" t="str">
        <x:v>conclusion = ""</x:v>
      </x:c>
      <x:c r="E6" s="129" t="str">
        <x:v>I4</x:v>
      </x:c>
      <x:c r="F6" s="129" t="str">
        <x:v>conclusion = "CBC values within reference range"</x:v>
      </x:c>
      <x:c r="G6" s="129" t="str">
        <x:v>B4</x:v>
      </x:c>
      <x:c r="H6" s="129" t="str">
        <x:v>conclusion = ""</x:v>
      </x:c>
      <x:c r="I6" s="129" t="str">
        <x:v>IB4</x:v>
      </x:c>
    </x:row>
    <x:row r="7" ht="42" customHeight="1">
      <x:c r="A7" s="130" t="str">
        <x:v>verifiedBy</x:v>
      </x:c>
      <x:c r="B7" s="129" t="str">
        <x:v>verifiedBy = "STF-HEAD-LAB-01"</x:v>
      </x:c>
      <x:c r="C7" s="129" t="str">
        <x:v>V5</x:v>
      </x:c>
      <x:c r="D7" s="129" t="str">
        <x:v>verifiedBy = "STF-DOC-01"</x:v>
      </x:c>
      <x:c r="E7" s="129" t="str">
        <x:v>I5</x:v>
      </x:c>
      <x:c r="F7" s="129" t="str">
        <x:v>verifiedBy = "STF-HEAD-LAB-01"</x:v>
      </x:c>
      <x:c r="G7" s="129" t="str">
        <x:v>B5</x:v>
      </x:c>
      <x:c r="H7" s="129" t="str">
        <x:v>verifiedBy = "STF-DOC-01"</x:v>
      </x:c>
      <x:c r="I7" s="129" t="str">
        <x:v>IB5</x:v>
      </x:c>
    </x:row>
    <x:row r="8" ht="42" customHeight="1">
      <x:c r="A8" s="130" t="str">
        <x:v>queue status</x:v>
      </x:c>
      <x:c r="B8" s="129" t="str">
        <x:v>queueTicket.status = "IN_PROGRESS"</x:v>
      </x:c>
      <x:c r="C8" s="129" t="str">
        <x:v>V6</x:v>
      </x:c>
      <x:c r="D8" s="129" t="str">
        <x:v>queueTicket.status = "WAITING"</x:v>
      </x:c>
      <x:c r="E8" s="129" t="str">
        <x:v>I6</x:v>
      </x:c>
      <x:c r="F8" s="129" t="str">
        <x:v>queueTicket.status = "IN_PROGRESS"</x:v>
      </x:c>
      <x:c r="G8" s="129" t="str">
        <x:v>B6</x:v>
      </x:c>
      <x:c r="H8" s="129" t="str">
        <x:v>queueTicket.status = "WAITING"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>
      <x:c r="A9" s="130"/>
      <x:c r="B9" s="129"/>
      <x:c r="C9" s="129"/>
      <x:c r="D9" s="129"/>
      <x:c r="E9" s="129"/>
      <x:c r="F9" s="129"/>
      <x:c r="G9" s="129"/>
      <x:c r="H9" s="129"/>
      <x:c r="I9" s="129"/>
    </x:row>
    <x:row r="10" ht="42" customHeight="1">
      <x:c r="A10" s="130"/>
      <x:c r="B10" s="129"/>
      <x:c r="C10" s="129"/>
      <x:c r="D10" s="129"/>
      <x:c r="E10" s="129"/>
      <x:c r="F10" s="129"/>
      <x:c r="G10" s="129"/>
      <x:c r="H10" s="129"/>
      <x:c r="I10" s="129"/>
    </x:row>
    <x:row r="11" ht="42" customHeight="1">
      <x:c r="A11" s="130"/>
      <x:c r="B11" s="129"/>
      <x:c r="C11" s="129"/>
      <x:c r="D11" s="129"/>
      <x:c r="E11" s="129"/>
      <x:c r="F11" s="129"/>
      <x:c r="G11" s="129"/>
      <x:c r="H11" s="129"/>
      <x:c r="I11" s="129"/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testRequest.status = "IN_PROGRESS"
resultFile = "cbc-result.pdf"
fileSize = 1048576
POST /api/v1/test-requests/TR-1001/result/complete</x:v>
      </x:c>
      <x:c r="C3" s="151" t="str">
        <x:v>httpStatus = 200
response.flow = "IT09"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testRequest.status = "COMPLETED"
resultFile = "cbc-result.pdf"
POST /api/v1/test-requests/TR-1001/result/complete</x:v>
      </x:c>
      <x:c r="C4" s="151" t="str">
        <x:v>httpStatus = 404
response.code = "LABRESULT_NOT_FOUND"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testRequest.status = "IN_PROGRESS"
resultFile = "cbc-result.jpg"
POST /api/v1/test-requests/TR-1001/result/complete</x:v>
      </x:c>
      <x:c r="C5" s="151" t="str">
        <x:v>httpStatus = 400
response.code = "INVALID_RESULTFILE"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conclusion = "CBC values within reference range"
verifiedBy = "STF-HEAD-LAB-01"
POST /api/v1/test-requests/TR-1001/result/complete</x:v>
      </x:c>
      <x:c r="C6" s="151" t="str">
        <x:v>httpStatus = 200
response.conclusion = "\"CBC values within reference range\""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verifiedBy = "STF-DOC-01"
POST /api/v1/test-requests/TR-1001/result/complete</x:v>
      </x:c>
      <x:c r="C7" s="151" t="str">
        <x:v>httpStatus = 400
response.code = "INVALID_VERIFIEDBY"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queueTicket.status = "WAITING"
POST /api/v1/test-requests/TR-1001/result/complete</x:v>
      </x:c>
      <x:c r="C8" s="151" t="str">
        <x:v>httpStatus = 409
response.code = "INVALID_QUEUE_STATUS"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3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IT09 - Laboratory result completion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TestRequest -&gt; TestResult -&gt; QueueTicket -&gt; PatientJourney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IT09-001</ns0:v>
      </ns0:c>
      <ns0:c r="B12" s="39" t="str">
        <ns0:v>Create or process laboratory result completion</ns0:v>
      </ns0:c>
      <ns0:c r="C12" s="39" t="str">
        <ns0:v>testRequest.status = "IN_PROGRESS"
resultFile = "cbc-result.pdf"
fileSize = 1048576
POST /api/v1/test-requests/TR-1001/result/complete</ns0:v>
      </ns0:c>
      <ns0:c r="D12" s="45" t="str">
        <ns0:v>httpStatus = 200
response.flow = "IT09"
database.updatedRows = 1</ns0:v>
      </ns0:c>
      <ns0:c r="E12" s="39" t="str">
        <ns0:v>testRequest.status = "IN_PROGRESS"
resultFile = "cbc-result.pdf"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IT09-002</ns0:v>
      </ns0:c>
      <ns0:c r="B13" s="39" t="str">
        <ns0:v>Reject invalid request status</ns0:v>
      </ns0:c>
      <ns0:c r="C13" s="39" t="str">
        <ns0:v>testRequest.status = "COMPLETED"
resultFile = "cbc-result.pdf"
POST /api/v1/test-requests/TR-1001/result/complete</ns0:v>
      </ns0:c>
      <ns0:c r="D13" s="45" t="str">
        <ns0:v>httpStatus = 404
response.code = "LABRESULT_NOT_FOUND"
database.updatedRows = 0</ns0:v>
      </ns0:c>
      <ns0:c r="E13" s="39" t="str">
        <ns0:v>testRequest.status = "COMPLETED"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IT09-003</ns0:v>
      </ns0:c>
      <ns0:c r="B15" s="39" t="str">
        <ns0:v>Reject invalid resultFile</ns0:v>
      </ns0:c>
      <ns0:c r="C15" s="39" t="str">
        <ns0:v>testRequest.status = "IN_PROGRESS"
resultFile = "cbc-result.jpg"
POST /api/v1/test-requests/TR-1001/result/complete</ns0:v>
      </ns0:c>
      <ns0:c r="D15" s="45" t="str">
        <ns0:v>httpStatus = 400
response.code = "INVALID_RESULTFILE"
database.updatedRows = 0</ns0:v>
      </ns0:c>
      <ns0:c r="E15" s="39" t="str">
        <ns0:v>testRequest.status = "IN_PROGRESS"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IT09-004</ns0:v>
      </ns0:c>
      <ns0:c r="B16" s="39" t="str">
        <ns0:v>Accept boundary value for conclusion</ns0:v>
      </ns0:c>
      <ns0:c r="C16" s="39" t="str">
        <ns0:v>conclusion = "CBC values within reference range"
verifiedBy = "STF-HEAD-LAB-01"
POST /api/v1/test-requests/TR-1001/result/complete</ns0:v>
      </ns0:c>
      <ns0:c r="D16" s="45" t="str">
        <ns0:v>httpStatus = 200
response.conclusion = "\"CBC values within reference range\""
database.updatedRows = 1</ns0:v>
      </ns0:c>
      <ns0:c r="E16" s="39" t="str">
        <ns0:v>testRequest.status = "IN_PROGRESS"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IT09-005</ns0:v>
      </ns0:c>
      <ns0:c r="B18" s="39" t="str">
        <ns0:v>Reject invalid verifiedBy</ns0:v>
      </ns0:c>
      <ns0:c r="C18" s="39" t="str">
        <ns0:v>verifiedBy = "STF-DOC-01"
POST /api/v1/test-requests/TR-1001/result/complete</ns0:v>
      </ns0:c>
      <ns0:c r="D18" s="45" t="str">
        <ns0:v>httpStatus = 400
response.code = "INVALID_VERIFIEDBY"
database.updatedRows = 0</ns0:v>
      </ns0:c>
      <ns0:c r="E18" s="39" t="str">
        <ns0:v>testRequest.status = "IN_PROGRESS"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IT09-006</ns0:v>
      </ns0:c>
      <ns0:c r="B19" s="39" t="str">
        <ns0:v>Reject invalid queue status</ns0:v>
      </ns0:c>
      <ns0:c r="C19" s="39" t="str">
        <ns0:v>queueTicket.status = "WAITING"
POST /api/v1/test-requests/TR-1001/result/complete</ns0:v>
      </ns0:c>
      <ns0:c r="D19" s="45" t="str">
        <ns0:v>httpStatus = 409
response.code = "INVALID_QUEUE_STATUS"
database.updatedRows = 0</ns0:v>
      </ns0:c>
      <ns0:c r="E19" s="39" t="str">
        <ns0:v>queueTicket.status = "WAITING"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1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phone</x:v>
      </x:c>
      <x:c r="B3" s="129" t="str">
        <x:v>phone = "0944433222"</x:v>
      </x:c>
      <x:c r="C3" s="129" t="str">
        <x:v>V1</x:v>
      </x:c>
      <x:c r="D3" s="129" t="str">
        <x:v>phone = "0900000000"</x:v>
      </x:c>
      <x:c r="E3" s="129" t="str">
        <x:v>I1</x:v>
      </x:c>
      <x:c r="F3" s="129" t="str">
        <x:v>phone = "0944433222"</x:v>
      </x:c>
      <x:c r="G3" s="129" t="str">
        <x:v>B1</x:v>
      </x:c>
      <x:c r="H3" s="129" t="str">
        <x:v>phone = "0900000000"</x:v>
      </x:c>
      <x:c r="I3" s="129" t="str">
        <x:v>IB1</x:v>
      </x:c>
    </x:row>
    <x:row r="4" ht="42" customHeight="1">
      <x:c r="A4" s="130" t="str">
        <x:v>password</x:v>
      </x:c>
      <x:c r="B4" s="129" t="str">
        <x:v>password = "Clinic@123"</x:v>
      </x:c>
      <x:c r="C4" s="129" t="str">
        <x:v>V2</x:v>
      </x:c>
      <x:c r="D4" s="129" t="str">
        <x:v>password = "Wrong@123"</x:v>
      </x:c>
      <x:c r="E4" s="129" t="str">
        <x:v>I2</x:v>
      </x:c>
      <x:c r="F4" s="129" t="str">
        <x:v>password = "Clinic@123"</x:v>
      </x:c>
      <x:c r="G4" s="129" t="str">
        <x:v>B2</x:v>
      </x:c>
      <x:c r="H4" s="129" t="str">
        <x:v>password = "Wrong@123"</x:v>
      </x:c>
      <x:c r="I4" s="129" t="str">
        <x:v>IB2</x:v>
      </x:c>
    </x:row>
    <x:row r="5" ht="42" customHeight="1">
      <x:c r="A5" s="130" t="str">
        <x:v>account status</x:v>
      </x:c>
      <x:c r="B5" s="129" t="str">
        <x:v>account.isActive = true</x:v>
      </x:c>
      <x:c r="C5" s="129" t="str">
        <x:v>V3</x:v>
      </x:c>
      <x:c r="D5" s="129" t="str">
        <x:v>account.isActive = false</x:v>
      </x:c>
      <x:c r="E5" s="129" t="str">
        <x:v>I3</x:v>
      </x:c>
      <x:c r="F5" s="129" t="str">
        <x:v>account.isActive = true</x:v>
      </x:c>
      <x:c r="G5" s="129" t="str">
        <x:v>B3</x:v>
      </x:c>
      <x:c r="H5" s="129" t="str">
        <x:v>account.isActive = false</x:v>
      </x:c>
      <x:c r="I5" s="129" t="str">
        <x:v>IB3</x:v>
      </x:c>
    </x:row>
    <x:row r="6" ht="42" customHeight="1">
      <x:c r="A6" s="130" t="str">
        <x:v>refresh token</x:v>
      </x:c>
      <x:c r="B6" s="129" t="str">
        <x:v>token.type = "REFRESH"</x:v>
      </x:c>
      <x:c r="C6" s="129" t="str">
        <x:v>V4</x:v>
      </x:c>
      <x:c r="D6" s="129" t="str">
        <x:v>token.type = "ACCESS"</x:v>
      </x:c>
      <x:c r="E6" s="129" t="str">
        <x:v>I4</x:v>
      </x:c>
      <x:c r="F6" s="129" t="str">
        <x:v>token.type = "REFRESH"</x:v>
      </x:c>
      <x:c r="G6" s="129" t="str">
        <x:v>B4</x:v>
      </x:c>
      <x:c r="H6" s="129" t="str">
        <x:v>token.type = "ACCESS"</x:v>
      </x:c>
      <x:c r="I6" s="129" t="str">
        <x:v>IB4</x:v>
      </x:c>
    </x:row>
    <x:row r="7" ht="42" customHeight="1">
      <x:c r="A7" s="130" t="str">
        <x:v>token expiry</x:v>
      </x:c>
      <x:c r="B7" s="129" t="str">
        <x:v>token.expiresAt = "2026-08-13T10:00:00"</x:v>
      </x:c>
      <x:c r="C7" s="129" t="str">
        <x:v>V5</x:v>
      </x:c>
      <x:c r="D7" s="129" t="str">
        <x:v>token.expiresAt = "2026-08-11T10:00:00"</x:v>
      </x:c>
      <x:c r="E7" s="129" t="str">
        <x:v>I5</x:v>
      </x:c>
      <x:c r="F7" s="129" t="str">
        <x:v>token.expiresAt = "2026-08-13T10:00:00"</x:v>
      </x:c>
      <x:c r="G7" s="129" t="str">
        <x:v>B5</x:v>
      </x:c>
      <x:c r="H7" s="129" t="str">
        <x:v>token.expiresAt = "2026-08-11T10:00:00"</x:v>
      </x:c>
      <x:c r="I7" s="129" t="str">
        <x:v>IB5</x:v>
      </x:c>
    </x:row>
    <x:row r="8" ht="42" customHeight="1">
      <x:c r="A8" s="130" t="str">
        <x:v>authorization</x:v>
      </x:c>
      <x:c r="B8" s="129" t="str">
        <x:v>Authorization = "Bearer eyJ.valid"</x:v>
      </x:c>
      <x:c r="C8" s="129" t="str">
        <x:v>V6</x:v>
      </x:c>
      <x:c r="D8" s="129" t="str">
        <x:v>Authorization = null</x:v>
      </x:c>
      <x:c r="E8" s="129" t="str">
        <x:v>I6</x:v>
      </x:c>
      <x:c r="F8" s="129" t="str">
        <x:v>Authorization = "Bearer eyJ.valid"</x:v>
      </x:c>
      <x:c r="G8" s="129" t="str">
        <x:v>B6</x:v>
      </x:c>
      <x:c r="H8" s="129" t="str">
        <x:v>Authorization = null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phone = "0944433222"
password = "Clinic@123"
POST /api/auth/login</x:v>
      </x:c>
      <x:c r="C3" s="151" t="str">
        <x:v>httpStatus = 200
response.accessToken != null
response.refreshToken != null
response.systemRole = "CUSTOMER"</x:v>
      </x:c>
      <x:c r="D3" s="151" t="str">
        <x:v>V1, V2, V3</x:v>
      </x:c>
    </x:row>
    <x:row r="4" ht="82" customHeight="1">
      <x:c r="A4" s="152" t="n">
        <x:v>2</x:v>
      </x:c>
      <x:c r="B4" s="151" t="str">
        <x:v>phone = "0944433222"
password = "Wrong@123"
POST /api/auth/login</x:v>
      </x:c>
      <x:c r="C4" s="151" t="str">
        <x:v>httpStatus = 400
response.accessToken = null
response.refreshToken = null</x:v>
      </x:c>
      <x:c r="D4" s="151" t="str">
        <x:v>I2</x:v>
      </x:c>
    </x:row>
    <x:row r="5" ht="82" customHeight="1">
      <x:c r="A5" s="152" t="n">
        <x:v>3</x:v>
      </x:c>
      <x:c r="B5" s="151" t="str">
        <x:v>phone = "0944433222"
password = "Clinic@123"
POST /api/auth/login</x:v>
      </x:c>
      <x:c r="C5" s="151" t="str">
        <x:v>httpStatus = 400
response.code = "ACCOUNT_INACTIVE"
response.accessToken = null</x:v>
      </x:c>
      <x:c r="D5" s="151" t="str">
        <x:v>I3</x:v>
      </x:c>
    </x:row>
    <x:row r="6" ht="82" customHeight="1">
      <x:c r="A6" s="152" t="n">
        <x:v>4</x:v>
      </x:c>
      <x:c r="B6" s="151" t="str">
        <x:v>refreshToken = "eyJ.refresh.valid"
POST /api/auth/refresh</x:v>
      </x:c>
      <x:c r="C6" s="151" t="str">
        <x:v>httpStatus = 200
response.accessToken != null
response.refreshToken != null</x:v>
      </x:c>
      <x:c r="D6" s="151" t="str">
        <x:v>V4, V5</x:v>
      </x:c>
    </x:row>
    <x:row r="7" ht="82" customHeight="1">
      <x:c r="A7" s="152" t="n">
        <x:v>5</x:v>
      </x:c>
      <x:c r="B7" s="151" t="str">
        <x:v>refreshToken = "eyJ.access.valid"
POST /api/auth/refresh</x:v>
      </x:c>
      <x:c r="C7" s="151" t="str">
        <x:v>httpStatus = 400
response.code = "INVALID_TOKEN_TYPE"
response.accessToken = null</x:v>
      </x:c>
      <x:c r="D7" s="151" t="str">
        <x:v>I4</x:v>
      </x:c>
    </x:row>
    <x:row r="8" ht="82" customHeight="1">
      <x:c r="A8" s="152" t="n">
        <x:v>6</x:v>
      </x:c>
      <x:c r="B8" s="151" t="str">
        <x:v>Authorization = null
GET /api/auth/me</x:v>
      </x:c>
      <x:c r="C8" s="151" t="str">
        <x:v>httpStatus = 401
response.code = "UNAUTHORIZED"
response.accountId = null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6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IT02 - Login and token refresh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Account -&gt; Authentication -&gt; JWT access/refresh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IT02-001</ns0:v>
      </ns0:c>
      <ns0:c r="B12" s="39" t="str">
        <ns0:v>Login with valid phone and password</ns0:v>
      </ns0:c>
      <ns0:c r="C12" s="39" t="str">
        <ns0:v>phone = "0944433222"
password = "Clinic@123"
POST /api/auth/login</ns0:v>
      </ns0:c>
      <ns0:c r="D12" s="45" t="str">
        <ns0:v>httpStatus = 200
response.accessToken != null
response.refreshToken != null
response.systemRole = "CUSTOMER"</ns0:v>
      </ns0:c>
      <ns0:c r="E12" s="39" t="str">
        <ns0:v>account.phone = "0944433222"
account.password = "Clinic@123"
account.isActive = true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IT02-002</ns0:v>
      </ns0:c>
      <ns0:c r="B13" s="39" t="str">
        <ns0:v>Reject incorrect password</ns0:v>
      </ns0:c>
      <ns0:c r="C13" s="39" t="str">
        <ns0:v>phone = "0944433222"
password = "Wrong@123"
POST /api/auth/login</ns0:v>
      </ns0:c>
      <ns0:c r="D13" s="45" t="str">
        <ns0:v>httpStatus = 400
response.accessToken = null
response.refreshToken = null</ns0:v>
      </ns0:c>
      <ns0:c r="E13" s="39" t="str">
        <ns0:v>account.phone = "0944433222"
account.password = "Clinic@123"
account.isActive = true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I2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IT02-003</ns0:v>
      </ns0:c>
      <ns0:c r="B15" s="39" t="str">
        <ns0:v>Reject inactive account</ns0:v>
      </ns0:c>
      <ns0:c r="C15" s="39" t="str">
        <ns0:v>phone = "0944433222"
password = "Clinic@123"
POST /api/auth/login</ns0:v>
      </ns0:c>
      <ns0:c r="D15" s="45" t="str">
        <ns0:v>httpStatus = 400
response.code = "ACCOUNT_INACTIVE"
response.accessToken = null</ns0:v>
      </ns0:c>
      <ns0:c r="E15" s="39" t="str">
        <ns0:v>account.phone = "0944433222"
account.isActive = false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I3</ns0:v>
      </ns0:c>
      <ns0:c r="Q15" s="38"/>
    </ns0:row>
    <ns0:row r="16" ht="105" customHeight="1">
      <ns0:c r="A16" s="39" t="str">
        <ns0:v>IT02-004</ns0:v>
      </ns0:c>
      <ns0:c r="B16" s="39" t="str">
        <ns0:v>Refresh tokens with refresh token</ns0:v>
      </ns0:c>
      <ns0:c r="C16" s="39" t="str">
        <ns0:v>refreshToken = "eyJ.refresh.valid"
POST /api/auth/refresh</ns0:v>
      </ns0:c>
      <ns0:c r="D16" s="45" t="str">
        <ns0:v>httpStatus = 200
response.accessToken != null
response.refreshToken != null</ns0:v>
      </ns0:c>
      <ns0:c r="E16" s="39" t="str">
        <ns0:v>token.type = "REFRESH"
token.revoked = false
token.expiresAt = "2026-08-13T10:00:00"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V4,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IT02-005</ns0:v>
      </ns0:c>
      <ns0:c r="B18" s="39" t="str">
        <ns0:v>Reject access token on refresh endpoint</ns0:v>
      </ns0:c>
      <ns0:c r="C18" s="39" t="str">
        <ns0:v>refreshToken = "eyJ.access.valid"
POST /api/auth/refresh</ns0:v>
      </ns0:c>
      <ns0:c r="D18" s="45" t="str">
        <ns0:v>httpStatus = 400
response.code = "INVALID_TOKEN_TYPE"
response.accessToken = null</ns0:v>
      </ns0:c>
      <ns0:c r="E18" s="39" t="str">
        <ns0:v>token.type = "ACCESS"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I4</ns0:v>
      </ns0:c>
    </ns0:row>
    <ns0:row r="19" s="44" customFormat="1" ht="105" customHeight="1">
      <ns0:c r="A19" s="39" t="str">
        <ns0:v>IT02-006</ns0:v>
      </ns0:c>
      <ns0:c r="B19" s="39" t="str">
        <ns0:v>Reject request without bearer token</ns0:v>
      </ns0:c>
      <ns0:c r="C19" s="39" t="str">
        <ns0:v>Authorization = null
GET /api/auth/me</ns0:v>
      </ns0:c>
      <ns0:c r="D19" s="45" t="str">
        <ns0:v>httpStatus = 401
response.code = "UNAUTHORIZED"
response.accountId = null</ns0:v>
      </ns0:c>
      <ns0:c r="E19" s="39" t="str">
        <ns0:v>securityContext.authentication = null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1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profile owner</x:v>
      </x:c>
      <x:c r="B3" s="129" t="str">
        <x:v>profile.accountId = "ACC-1001"</x:v>
      </x:c>
      <x:c r="C3" s="129" t="str">
        <x:v>V1</x:v>
      </x:c>
      <x:c r="D3" s="129" t="str">
        <x:v>profile.accountId = "ACC-2002"</x:v>
      </x:c>
      <x:c r="E3" s="129" t="str">
        <x:v>I1</x:v>
      </x:c>
      <x:c r="F3" s="129" t="str">
        <x:v>profile.accountId = "ACC-1001"</x:v>
      </x:c>
      <x:c r="G3" s="129" t="str">
        <x:v>B1</x:v>
      </x:c>
      <x:c r="H3" s="129" t="str">
        <x:v>profile.accountId = "ACC-2002"</x:v>
      </x:c>
      <x:c r="I3" s="129" t="str">
        <x:v>IB1</x:v>
      </x:c>
    </x:row>
    <x:row r="4" ht="42" customHeight="1">
      <x:c r="A4" s="130" t="str">
        <x:v>fullName</x:v>
      </x:c>
      <x:c r="B4" s="129" t="str">
        <x:v>fullName = "John Carter"</x:v>
      </x:c>
      <x:c r="C4" s="129" t="str">
        <x:v>V2</x:v>
      </x:c>
      <x:c r="D4" s="129" t="str">
        <x:v>fullName = ""</x:v>
      </x:c>
      <x:c r="E4" s="129" t="str">
        <x:v>I2</x:v>
      </x:c>
      <x:c r="F4" s="129" t="str">
        <x:v>fullName = "John Carter"</x:v>
      </x:c>
      <x:c r="G4" s="129" t="str">
        <x:v>B2</x:v>
      </x:c>
      <x:c r="H4" s="129" t="str">
        <x:v>fullName = ""</x:v>
      </x:c>
      <x:c r="I4" s="129" t="str">
        <x:v>IB2</x:v>
      </x:c>
    </x:row>
    <x:row r="5" ht="42" customHeight="1">
      <x:c r="A5" s="130" t="str">
        <x:v>phone</x:v>
      </x:c>
      <x:c r="B5" s="129" t="str">
        <x:v>phone = "0944433222"</x:v>
      </x:c>
      <x:c r="C5" s="129" t="str">
        <x:v>V3</x:v>
      </x:c>
      <x:c r="D5" s="129" t="str">
        <x:v>phone = "123"</x:v>
      </x:c>
      <x:c r="E5" s="129" t="str">
        <x:v>I3</x:v>
      </x:c>
      <x:c r="F5" s="129" t="str">
        <x:v>phone = "0944433222"</x:v>
      </x:c>
      <x:c r="G5" s="129" t="str">
        <x:v>B3</x:v>
      </x:c>
      <x:c r="H5" s="129" t="str">
        <x:v>phone = "123"</x:v>
      </x:c>
      <x:c r="I5" s="129" t="str">
        <x:v>IB3</x:v>
      </x:c>
    </x:row>
    <x:row r="6" ht="42" customHeight="1">
      <x:c r="A6" s="130" t="str">
        <x:v>email</x:v>
      </x:c>
      <x:c r="B6" s="129" t="str">
        <x:v>email = "john.carter@example.com"</x:v>
      </x:c>
      <x:c r="C6" s="129" t="str">
        <x:v>V4</x:v>
      </x:c>
      <x:c r="D6" s="129" t="str">
        <x:v>email = "john.example.com"</x:v>
      </x:c>
      <x:c r="E6" s="129" t="str">
        <x:v>I4</x:v>
      </x:c>
      <x:c r="F6" s="129" t="str">
        <x:v>email = "john.carter@example.com"</x:v>
      </x:c>
      <x:c r="G6" s="129" t="str">
        <x:v>B4</x:v>
      </x:c>
      <x:c r="H6" s="129" t="str">
        <x:v>email = "john.example.com"</x:v>
      </x:c>
      <x:c r="I6" s="129" t="str">
        <x:v>IB4</x:v>
      </x:c>
    </x:row>
    <x:row r="7" ht="42" customHeight="1">
      <x:c r="A7" s="130" t="str">
        <x:v>dateOfBirth</x:v>
      </x:c>
      <x:c r="B7" s="129" t="str">
        <x:v>dateOfBirth = "1998-05-20"</x:v>
      </x:c>
      <x:c r="C7" s="129" t="str">
        <x:v>V5</x:v>
      </x:c>
      <x:c r="D7" s="129" t="str">
        <x:v>dateOfBirth = "2027-01-01"</x:v>
      </x:c>
      <x:c r="E7" s="129" t="str">
        <x:v>I5</x:v>
      </x:c>
      <x:c r="F7" s="129" t="str">
        <x:v>dateOfBirth = "1998-05-20"</x:v>
      </x:c>
      <x:c r="G7" s="129" t="str">
        <x:v>B5</x:v>
      </x:c>
      <x:c r="H7" s="129" t="str">
        <x:v>dateOfBirth = "2027-01-01"</x:v>
      </x:c>
      <x:c r="I7" s="129" t="str">
        <x:v>IB5</x:v>
      </x:c>
    </x:row>
    <x:row r="8" ht="42" customHeight="1">
      <x:c r="A8" s="130" t="str">
        <x:v>insuranceCode</x:v>
      </x:c>
      <x:c r="B8" s="129" t="str">
        <x:v>insuranceCode = "BH1234567890123"</x:v>
      </x:c>
      <x:c r="C8" s="129" t="str">
        <x:v>V6</x:v>
      </x:c>
      <x:c r="D8" s="129" t="str">
        <x:v>insuranceCode = "BH0000000000000"</x:v>
      </x:c>
      <x:c r="E8" s="129" t="str">
        <x:v>I6</x:v>
      </x:c>
      <x:c r="F8" s="129" t="str">
        <x:v>insuranceCode = "BH1234567890123"</x:v>
      </x:c>
      <x:c r="G8" s="129" t="str">
        <x:v>B6</x:v>
      </x:c>
      <x:c r="H8" s="129" t="str">
        <x:v>insuranceCode = "BH0000000000000"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profile.accountId = "ACC-1001"
fullName = "John Carter"
phone = "0944433222"
PUT /api/v1/profiles/me</x:v>
      </x:c>
      <x:c r="C3" s="151" t="str">
        <x:v>httpStatus = 200
response.flow = "IT03"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profile.accountId = "ACC-2002"
fullName = "John Carter"
PUT /api/v1/profiles/me</x:v>
      </x:c>
      <x:c r="C4" s="151" t="str">
        <x:v>httpStatus = 404
response.code = "PROFILE_NOT_FOUND"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profile.accountId = "ACC-1001"
fullName = ""
PUT /api/v1/profiles/me</x:v>
      </x:c>
      <x:c r="C5" s="151" t="str">
        <x:v>httpStatus = 400
response.code = "INVALID_FULLNAME"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email = "john.carter@example.com"
dateOfBirth = "1998-05-20"
PUT /api/v1/profiles/me</x:v>
      </x:c>
      <x:c r="C6" s="151" t="str">
        <x:v>httpStatus = 200
response.email = "\"john.carter@example.com\""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dateOfBirth = "2027-01-01"
PUT /api/v1/profiles/me</x:v>
      </x:c>
      <x:c r="C7" s="151" t="str">
        <x:v>httpStatus = 400
response.code = "INVALID_DATEOFBIRTH"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insuranceCode = "BH0000000000000"
PUT /api/v1/profiles/me</x:v>
      </x:c>
      <x:c r="C8" s="151" t="str">
        <x:v>httpStatus = 409
response.code = "INVALID_INSURANCECODE"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19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IT03 - Customer profile management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Account -&gt; Profile -&gt; Insurance lookup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IT03-001</ns0:v>
      </ns0:c>
      <ns0:c r="B12" s="39" t="str">
        <ns0:v>Create or process customer profile management</ns0:v>
      </ns0:c>
      <ns0:c r="C12" s="39" t="str">
        <ns0:v>profile.accountId = "ACC-1001"
fullName = "John Carter"
phone = "0944433222"
PUT /api/v1/profiles/me</ns0:v>
      </ns0:c>
      <ns0:c r="D12" s="45" t="str">
        <ns0:v>httpStatus = 200
response.flow = "IT03"
database.updatedRows = 1</ns0:v>
      </ns0:c>
      <ns0:c r="E12" s="39" t="str">
        <ns0:v>profile.accountId = "ACC-1001"
fullName = "John Carter"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IT03-002</ns0:v>
      </ns0:c>
      <ns0:c r="B13" s="39" t="str">
        <ns0:v>Reject invalid profile owner</ns0:v>
      </ns0:c>
      <ns0:c r="C13" s="39" t="str">
        <ns0:v>profile.accountId = "ACC-2002"
fullName = "John Carter"
PUT /api/v1/profiles/me</ns0:v>
      </ns0:c>
      <ns0:c r="D13" s="45" t="str">
        <ns0:v>httpStatus = 404
response.code = "PROFILE_NOT_FOUND"
database.updatedRows = 0</ns0:v>
      </ns0:c>
      <ns0:c r="E13" s="39" t="str">
        <ns0:v>profile.accountId = "ACC-2002"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IT03-003</ns0:v>
      </ns0:c>
      <ns0:c r="B15" s="39" t="str">
        <ns0:v>Reject invalid fullName</ns0:v>
      </ns0:c>
      <ns0:c r="C15" s="39" t="str">
        <ns0:v>profile.accountId = "ACC-1001"
fullName = ""
PUT /api/v1/profiles/me</ns0:v>
      </ns0:c>
      <ns0:c r="D15" s="45" t="str">
        <ns0:v>httpStatus = 400
response.code = "INVALID_FULLNAME"
database.updatedRows = 0</ns0:v>
      </ns0:c>
      <ns0:c r="E15" s="39" t="str">
        <ns0:v>profile.accountId = "ACC-1001"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IT03-004</ns0:v>
      </ns0:c>
      <ns0:c r="B16" s="39" t="str">
        <ns0:v>Accept boundary value for email</ns0:v>
      </ns0:c>
      <ns0:c r="C16" s="39" t="str">
        <ns0:v>email = "john.carter@example.com"
dateOfBirth = "1998-05-20"
PUT /api/v1/profiles/me</ns0:v>
      </ns0:c>
      <ns0:c r="D16" s="45" t="str">
        <ns0:v>httpStatus = 200
response.email = "\"john.carter@example.com\""
database.updatedRows = 1</ns0:v>
      </ns0:c>
      <ns0:c r="E16" s="39" t="str">
        <ns0:v>profile.accountId = "ACC-1001"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IT03-005</ns0:v>
      </ns0:c>
      <ns0:c r="B18" s="39" t="str">
        <ns0:v>Reject invalid dateOfBirth</ns0:v>
      </ns0:c>
      <ns0:c r="C18" s="39" t="str">
        <ns0:v>dateOfBirth = "2027-01-01"
PUT /api/v1/profiles/me</ns0:v>
      </ns0:c>
      <ns0:c r="D18" s="45" t="str">
        <ns0:v>httpStatus = 400
response.code = "INVALID_DATEOFBIRTH"
database.updatedRows = 0</ns0:v>
      </ns0:c>
      <ns0:c r="E18" s="39" t="str">
        <ns0:v>profile.accountId = "ACC-1001"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IT03-006</ns0:v>
      </ns0:c>
      <ns0:c r="B19" s="39" t="str">
        <ns0:v>Reject invalid insuranceCode</ns0:v>
      </ns0:c>
      <ns0:c r="C19" s="39" t="str">
        <ns0:v>insuranceCode = "BH0000000000000"
PUT /api/v1/profiles/me</ns0:v>
      </ns0:c>
      <ns0:c r="D19" s="45" t="str">
        <ns0:v>httpStatus = 409
response.code = "INVALID_INSURANCECODE"
database.updatedRows = 0</ns0:v>
      </ns0:c>
      <ns0:c r="E19" s="39" t="str">
        <ns0:v>insuranceCode = "BH0000000000000"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20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invoice status</x:v>
      </x:c>
      <x:c r="B3" s="129" t="str">
        <x:v>invoice.status = "PENDING"</x:v>
      </x:c>
      <x:c r="C3" s="129" t="str">
        <x:v>V1</x:v>
      </x:c>
      <x:c r="D3" s="129" t="str">
        <x:v>invoice.status = "PAID"</x:v>
      </x:c>
      <x:c r="E3" s="129" t="str">
        <x:v>I1</x:v>
      </x:c>
      <x:c r="F3" s="129" t="str">
        <x:v>invoice.status = "PENDING"</x:v>
      </x:c>
      <x:c r="G3" s="129" t="str">
        <x:v>B1</x:v>
      </x:c>
      <x:c r="H3" s="129" t="str">
        <x:v>invoice.status = "PAID"</x:v>
      </x:c>
      <x:c r="I3" s="129" t="str">
        <x:v>IB1</x:v>
      </x:c>
    </x:row>
    <x:row r="4" ht="42" customHeight="1">
      <x:c r="A4" s="130" t="str">
        <x:v>amount</x:v>
      </x:c>
      <x:c r="B4" s="129" t="str">
        <x:v>amount = 500000</x:v>
      </x:c>
      <x:c r="C4" s="129" t="str">
        <x:v>V2</x:v>
      </x:c>
      <x:c r="D4" s="129" t="str">
        <x:v>amount = 499999</x:v>
      </x:c>
      <x:c r="E4" s="129" t="str">
        <x:v>I2</x:v>
      </x:c>
      <x:c r="F4" s="129" t="str">
        <x:v>amount = 500000</x:v>
      </x:c>
      <x:c r="G4" s="129" t="str">
        <x:v>B2</x:v>
      </x:c>
      <x:c r="H4" s="129" t="str">
        <x:v>amount = 499999</x:v>
      </x:c>
      <x:c r="I4" s="129" t="str">
        <x:v>IB2</x:v>
      </x:c>
    </x:row>
    <x:row r="5" ht="42" customHeight="1">
      <x:c r="A5" s="130" t="str">
        <x:v>paymentMethod</x:v>
      </x:c>
      <x:c r="B5" s="129" t="str">
        <x:v>paymentMethod = "CASH"</x:v>
      </x:c>
      <x:c r="C5" s="129" t="str">
        <x:v>V3</x:v>
      </x:c>
      <x:c r="D5" s="129" t="str">
        <x:v>paymentMethod = "BITCOIN"</x:v>
      </x:c>
      <x:c r="E5" s="129" t="str">
        <x:v>I3</x:v>
      </x:c>
      <x:c r="F5" s="129" t="str">
        <x:v>paymentMethod = "CASH"</x:v>
      </x:c>
      <x:c r="G5" s="129" t="str">
        <x:v>B3</x:v>
      </x:c>
      <x:c r="H5" s="129" t="str">
        <x:v>paymentMethod = "BITCOIN"</x:v>
      </x:c>
      <x:c r="I5" s="129" t="str">
        <x:v>IB3</x:v>
      </x:c>
    </x:row>
    <x:row r="6" ht="42" customHeight="1">
      <x:c r="A6" s="130" t="str">
        <x:v>invoice item count</x:v>
      </x:c>
      <x:c r="B6" s="129" t="str">
        <x:v>invoiceItem.count = 1</x:v>
      </x:c>
      <x:c r="C6" s="129" t="str">
        <x:v>V4</x:v>
      </x:c>
      <x:c r="D6" s="129" t="str">
        <x:v>invoiceItem.count = 0</x:v>
      </x:c>
      <x:c r="E6" s="129" t="str">
        <x:v>I4</x:v>
      </x:c>
      <x:c r="F6" s="129" t="str">
        <x:v>invoiceItem.count = 1</x:v>
      </x:c>
      <x:c r="G6" s="129" t="str">
        <x:v>B4</x:v>
      </x:c>
      <x:c r="H6" s="129" t="str">
        <x:v>invoiceItem.count = 0</x:v>
      </x:c>
      <x:c r="I6" s="129" t="str">
        <x:v>IB4</x:v>
      </x:c>
    </x:row>
    <x:row r="7" ht="42" customHeight="1">
      <x:c r="A7" s="130" t="str">
        <x:v>transaction status</x:v>
      </x:c>
      <x:c r="B7" s="129" t="str">
        <x:v>transaction.status = "PENDING"</x:v>
      </x:c>
      <x:c r="C7" s="129" t="str">
        <x:v>V5</x:v>
      </x:c>
      <x:c r="D7" s="129" t="str">
        <x:v>transaction.status = "SUCCESS"</x:v>
      </x:c>
      <x:c r="E7" s="129" t="str">
        <x:v>I5</x:v>
      </x:c>
      <x:c r="F7" s="129" t="str">
        <x:v>transaction.status = "PENDING"</x:v>
      </x:c>
      <x:c r="G7" s="129" t="str">
        <x:v>B5</x:v>
      </x:c>
      <x:c r="H7" s="129" t="str">
        <x:v>transaction.status = "SUCCESS"</x:v>
      </x:c>
      <x:c r="I7" s="129" t="str">
        <x:v>IB5</x:v>
      </x:c>
    </x:row>
    <x:row r="8" ht="42" customHeight="1">
      <x:c r="A8" s="130" t="str">
        <x:v>queue count</x:v>
      </x:c>
      <x:c r="B8" s="129" t="str">
        <x:v>queueTicket.count = 0</x:v>
      </x:c>
      <x:c r="C8" s="129" t="str">
        <x:v>V6</x:v>
      </x:c>
      <x:c r="D8" s="129" t="str">
        <x:v>queueTicket.count = 1</x:v>
      </x:c>
      <x:c r="E8" s="129" t="str">
        <x:v>I6</x:v>
      </x:c>
      <x:c r="F8" s="129" t="str">
        <x:v>queueTicket.count = 0</x:v>
      </x:c>
      <x:c r="G8" s="129" t="str">
        <x:v>B6</x:v>
      </x:c>
      <x:c r="H8" s="129" t="str">
        <x:v>queueTicket.count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invoice.status = "PENDING"
amount = 500000
paymentMethod = "CASH"
POST /api/v1/invoices/INV-1001/pay</x:v>
      </x:c>
      <x:c r="C3" s="151" t="str">
        <x:v>httpStatus = 200
response.flow = "IT05"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invoice.status = "PAID"
amount = 500000
POST /api/v1/invoices/INV-1001/pay</x:v>
      </x:c>
      <x:c r="C4" s="151" t="str">
        <x:v>httpStatus = 404
response.code = "PAYMENTQUEUE_NOT_FOUND"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invoice.status = "PENDING"
amount = 499999
POST /api/v1/invoices/INV-1001/pay</x:v>
      </x:c>
      <x:c r="C5" s="151" t="str">
        <x:v>httpStatus = 400
response.code = "INVALID_AMOUNT"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invoiceItem.count = 1
transaction.status = "PENDING"
POST /api/v1/invoices/INV-1001/pay</x:v>
      </x:c>
      <x:c r="C6" s="151" t="str">
        <x:v>httpStatus = 200
response.invoiceitemcount = "1"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transaction.status = "SUCCESS"
POST /api/v1/invoices/INV-1001/pay</x:v>
      </x:c>
      <x:c r="C7" s="151" t="str">
        <x:v>httpStatus = 400
response.code = "INVALID_TRANSACTION_STATUS"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queueTicket.count = 1
POST /api/v1/invoices/INV-1001/pay</x:v>
      </x:c>
      <x:c r="C8" s="151" t="str">
        <x:v>httpStatus = 409
response.code = "INVALID_QUEUE_COUNT"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2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IT05 - Invoice payment and queue creation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Invoice -&gt; Transaction -&gt; QueueTicket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IT05-001</ns0:v>
      </ns0:c>
      <ns0:c r="B12" s="39" t="str">
        <ns0:v>Create or process invoice payment and queue creation</ns0:v>
      </ns0:c>
      <ns0:c r="C12" s="39" t="str">
        <ns0:v>invoice.status = "PENDING"
amount = 500000
paymentMethod = "CASH"
POST /api/v1/invoices/INV-1001/pay</ns0:v>
      </ns0:c>
      <ns0:c r="D12" s="45" t="str">
        <ns0:v>httpStatus = 200
response.flow = "IT05"
database.updatedRows = 1</ns0:v>
      </ns0:c>
      <ns0:c r="E12" s="39" t="str">
        <ns0:v>invoice.status = "PENDING"
amount = 500000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IT05-002</ns0:v>
      </ns0:c>
      <ns0:c r="B13" s="39" t="str">
        <ns0:v>Reject invalid invoice status</ns0:v>
      </ns0:c>
      <ns0:c r="C13" s="39" t="str">
        <ns0:v>invoice.status = "PAID"
amount = 500000
POST /api/v1/invoices/INV-1001/pay</ns0:v>
      </ns0:c>
      <ns0:c r="D13" s="45" t="str">
        <ns0:v>httpStatus = 404
response.code = "PAYMENTQUEUE_NOT_FOUND"
database.updatedRows = 0</ns0:v>
      </ns0:c>
      <ns0:c r="E13" s="39" t="str">
        <ns0:v>invoice.status = "PAID"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IT05-003</ns0:v>
      </ns0:c>
      <ns0:c r="B15" s="39" t="str">
        <ns0:v>Reject invalid amount</ns0:v>
      </ns0:c>
      <ns0:c r="C15" s="39" t="str">
        <ns0:v>invoice.status = "PENDING"
amount = 499999
POST /api/v1/invoices/INV-1001/pay</ns0:v>
      </ns0:c>
      <ns0:c r="D15" s="45" t="str">
        <ns0:v>httpStatus = 400
response.code = "INVALID_AMOUNT"
database.updatedRows = 0</ns0:v>
      </ns0:c>
      <ns0:c r="E15" s="39" t="str">
        <ns0:v>invoice.status = "PENDING"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IT05-004</ns0:v>
      </ns0:c>
      <ns0:c r="B16" s="39" t="str">
        <ns0:v>Accept boundary value for invoice item count</ns0:v>
      </ns0:c>
      <ns0:c r="C16" s="39" t="str">
        <ns0:v>invoiceItem.count = 1
transaction.status = "PENDING"
POST /api/v1/invoices/INV-1001/pay</ns0:v>
      </ns0:c>
      <ns0:c r="D16" s="45" t="str">
        <ns0:v>httpStatus = 200
response.invoiceitemcount = "1"
database.updatedRows = 1</ns0:v>
      </ns0:c>
      <ns0:c r="E16" s="39" t="str">
        <ns0:v>invoice.status = "PENDING"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IT05-005</ns0:v>
      </ns0:c>
      <ns0:c r="B18" s="39" t="str">
        <ns0:v>Reject invalid transaction status</ns0:v>
      </ns0:c>
      <ns0:c r="C18" s="39" t="str">
        <ns0:v>transaction.status = "SUCCESS"
POST /api/v1/invoices/INV-1001/pay</ns0:v>
      </ns0:c>
      <ns0:c r="D18" s="45" t="str">
        <ns0:v>httpStatus = 400
response.code = "INVALID_TRANSACTION_STATUS"
database.updatedRows = 0</ns0:v>
      </ns0:c>
      <ns0:c r="E18" s="39" t="str">
        <ns0:v>invoice.status = "PENDING"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IT05-006</ns0:v>
      </ns0:c>
      <ns0:c r="B19" s="39" t="str">
        <ns0:v>Reject invalid queue count</ns0:v>
      </ns0:c>
      <ns0:c r="C19" s="39" t="str">
        <ns0:v>queueTicket.count = 1
POST /api/v1/invoices/INV-1001/pay</ns0:v>
      </ns0:c>
      <ns0:c r="D19" s="45" t="str">
        <ns0:v>httpStatus = 409
response.code = "INVALID_QUEUE_COUNT"
database.updatedRows = 0</ns0:v>
      </ns0:c>
      <ns0:c r="E19" s="39" t="str">
        <ns0:v>queueTicket.count = 1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23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queue status</x:v>
      </x:c>
      <x:c r="B3" s="129" t="str">
        <x:v>queueTicket.status = "WAITING"</x:v>
      </x:c>
      <x:c r="C3" s="129" t="str">
        <x:v>V1</x:v>
      </x:c>
      <x:c r="D3" s="129" t="str">
        <x:v>queueTicket.status = "DONE"</x:v>
      </x:c>
      <x:c r="E3" s="129" t="str">
        <x:v>I1</x:v>
      </x:c>
      <x:c r="F3" s="129" t="str">
        <x:v>queueTicket.status = "WAITING"</x:v>
      </x:c>
      <x:c r="G3" s="129" t="str">
        <x:v>B1</x:v>
      </x:c>
      <x:c r="H3" s="129" t="str">
        <x:v>queueTicket.status = "DONE"</x:v>
      </x:c>
      <x:c r="I3" s="129" t="str">
        <x:v>IB1</x:v>
      </x:c>
    </x:row>
    <x:row r="4" ht="42" customHeight="1">
      <x:c r="A4" s="130" t="str">
        <x:v>department</x:v>
      </x:c>
      <x:c r="B4" s="129" t="str">
        <x:v>departmentId = "DEP-GENERAL"</x:v>
      </x:c>
      <x:c r="C4" s="129" t="str">
        <x:v>V2</x:v>
      </x:c>
      <x:c r="D4" s="129" t="str">
        <x:v>departmentId = "DEP-LAB"</x:v>
      </x:c>
      <x:c r="E4" s="129" t="str">
        <x:v>I2</x:v>
      </x:c>
      <x:c r="F4" s="129" t="str">
        <x:v>departmentId = "DEP-GENERAL"</x:v>
      </x:c>
      <x:c r="G4" s="129" t="str">
        <x:v>B2</x:v>
      </x:c>
      <x:c r="H4" s="129" t="str">
        <x:v>departmentId = "DEP-LAB"</x:v>
      </x:c>
      <x:c r="I4" s="129" t="str">
        <x:v>IB2</x:v>
      </x:c>
    </x:row>
    <x:row r="5" ht="42" customHeight="1">
      <x:c r="A5" s="130" t="str">
        <x:v>staff role</x:v>
      </x:c>
      <x:c r="B5" s="129" t="str">
        <x:v>staff.systemRole = "DOCTOR"</x:v>
      </x:c>
      <x:c r="C5" s="129" t="str">
        <x:v>V3</x:v>
      </x:c>
      <x:c r="D5" s="129" t="str">
        <x:v>staff.systemRole = "CUSTOMER"</x:v>
      </x:c>
      <x:c r="E5" s="129" t="str">
        <x:v>I3</x:v>
      </x:c>
      <x:c r="F5" s="129" t="str">
        <x:v>staff.systemRole = "DOCTOR"</x:v>
      </x:c>
      <x:c r="G5" s="129" t="str">
        <x:v>B3</x:v>
      </x:c>
      <x:c r="H5" s="129" t="str">
        <x:v>staff.systemRole = "CUSTOMER"</x:v>
      </x:c>
      <x:c r="I5" s="129" t="str">
        <x:v>IB3</x:v>
      </x:c>
    </x:row>
    <x:row r="6" ht="42" customHeight="1">
      <x:c r="A6" s="130" t="str">
        <x:v>visit status</x:v>
      </x:c>
      <x:c r="B6" s="129" t="str">
        <x:v>customerVisit.status = "CHECKED_IN"</x:v>
      </x:c>
      <x:c r="C6" s="129" t="str">
        <x:v>V4</x:v>
      </x:c>
      <x:c r="D6" s="129" t="str">
        <x:v>customerVisit.status = "COMPLETED"</x:v>
      </x:c>
      <x:c r="E6" s="129" t="str">
        <x:v>I4</x:v>
      </x:c>
      <x:c r="F6" s="129" t="str">
        <x:v>customerVisit.status = "CHECKED_IN"</x:v>
      </x:c>
      <x:c r="G6" s="129" t="str">
        <x:v>B4</x:v>
      </x:c>
      <x:c r="H6" s="129" t="str">
        <x:v>customerVisit.status = "COMPLETED"</x:v>
      </x:c>
      <x:c r="I6" s="129" t="str">
        <x:v>IB4</x:v>
      </x:c>
    </x:row>
    <x:row r="7" ht="42" customHeight="1">
      <x:c r="A7" s="130" t="str">
        <x:v>temperature</x:v>
      </x:c>
      <x:c r="B7" s="129" t="str">
        <x:v>temperature = 36.8</x:v>
      </x:c>
      <x:c r="C7" s="129" t="str">
        <x:v>V5</x:v>
      </x:c>
      <x:c r="D7" s="129" t="str">
        <x:v>temperature = 50.0</x:v>
      </x:c>
      <x:c r="E7" s="129" t="str">
        <x:v>I5</x:v>
      </x:c>
      <x:c r="F7" s="129" t="str">
        <x:v>temperature = 36.8</x:v>
      </x:c>
      <x:c r="G7" s="129" t="str">
        <x:v>B5</x:v>
      </x:c>
      <x:c r="H7" s="129" t="str">
        <x:v>temperature = 50.0</x:v>
      </x:c>
      <x:c r="I7" s="129" t="str">
        <x:v>IB5</x:v>
      </x:c>
    </x:row>
    <x:row r="8" ht="42" customHeight="1">
      <x:c r="A8" s="130" t="str">
        <x:v>medical record count</x:v>
      </x:c>
      <x:c r="B8" s="129" t="str">
        <x:v>medicalRecord.count = 0</x:v>
      </x:c>
      <x:c r="C8" s="129" t="str">
        <x:v>V6</x:v>
      </x:c>
      <x:c r="D8" s="129" t="str">
        <x:v>medicalRecord.count = 1</x:v>
      </x:c>
      <x:c r="E8" s="129" t="str">
        <x:v>I6</x:v>
      </x:c>
      <x:c r="F8" s="129" t="str">
        <x:v>medicalRecord.count = 0</x:v>
      </x:c>
      <x:c r="G8" s="129" t="str">
        <x:v>B6</x:v>
      </x:c>
      <x:c r="H8" s="129" t="str">
        <x:v>medicalRecord.count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queueTicket.status = "WAITING"
departmentId = "DEP-GENERAL"
staff.systemRole = "DOCTOR"
POST /api/v1/queue-tickets/QUE-1001/call</x:v>
      </x:c>
      <x:c r="C3" s="151" t="str">
        <x:v>httpStatus = 200
response.flow = "IT06"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queueTicket.status = "DONE"
departmentId = "DEP-GENERAL"
POST /api/v1/queue-tickets/QUE-1001/call</x:v>
      </x:c>
      <x:c r="C4" s="151" t="str">
        <x:v>httpStatus = 404
response.code = "QUEUEEXAM_NOT_FOUND"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queueTicket.status = "WAITING"
departmentId = "DEP-LAB"
POST /api/v1/queue-tickets/QUE-1001/call</x:v>
      </x:c>
      <x:c r="C5" s="151" t="str">
        <x:v>httpStatus = 400
response.code = "INVALID_DEPARTMENT"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customerVisit.status = "CHECKED_IN"
temperature = 36.8
POST /api/v1/queue-tickets/QUE-1001/call</x:v>
      </x:c>
      <x:c r="C6" s="151" t="str">
        <x:v>httpStatus = 200
response.visitstatus = "\"CHECKED_IN\""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temperature = 50.0
POST /api/v1/queue-tickets/QUE-1001/call</x:v>
      </x:c>
      <x:c r="C7" s="151" t="str">
        <x:v>httpStatus = 400
response.code = "INVALID_TEMPERATURE"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medicalRecord.count = 1
POST /api/v1/queue-tickets/QUE-1001/call</x:v>
      </x:c>
      <x:c r="C8" s="151" t="str">
        <x:v>httpStatus = 409
response.code = "INVALID_MEDICAL_RECORD_COUNT"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5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IT06 - Queue handling and examination start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QueueTicket -&gt; CustomerVisit -&gt; VitalSigns -&gt; MedicalRecord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IT06-001</ns0:v>
      </ns0:c>
      <ns0:c r="B12" s="39" t="str">
        <ns0:v>Create or process queue handling and examination start</ns0:v>
      </ns0:c>
      <ns0:c r="C12" s="39" t="str">
        <ns0:v>queueTicket.status = "WAITING"
departmentId = "DEP-GENERAL"
staff.systemRole = "DOCTOR"
POST /api/v1/queue-tickets/QUE-1001/call</ns0:v>
      </ns0:c>
      <ns0:c r="D12" s="45" t="str">
        <ns0:v>httpStatus = 200
response.flow = "IT06"
database.updatedRows = 1</ns0:v>
      </ns0:c>
      <ns0:c r="E12" s="39" t="str">
        <ns0:v>queueTicket.status = "WAITING"
departmentId = "DEP-GENERAL"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IT06-002</ns0:v>
      </ns0:c>
      <ns0:c r="B13" s="39" t="str">
        <ns0:v>Reject invalid queue status</ns0:v>
      </ns0:c>
      <ns0:c r="C13" s="39" t="str">
        <ns0:v>queueTicket.status = "DONE"
departmentId = "DEP-GENERAL"
POST /api/v1/queue-tickets/QUE-1001/call</ns0:v>
      </ns0:c>
      <ns0:c r="D13" s="45" t="str">
        <ns0:v>httpStatus = 404
response.code = "QUEUEEXAM_NOT_FOUND"
database.updatedRows = 0</ns0:v>
      </ns0:c>
      <ns0:c r="E13" s="39" t="str">
        <ns0:v>queueTicket.status = "DONE"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IT06-003</ns0:v>
      </ns0:c>
      <ns0:c r="B15" s="39" t="str">
        <ns0:v>Reject invalid department</ns0:v>
      </ns0:c>
      <ns0:c r="C15" s="39" t="str">
        <ns0:v>queueTicket.status = "WAITING"
departmentId = "DEP-LAB"
POST /api/v1/queue-tickets/QUE-1001/call</ns0:v>
      </ns0:c>
      <ns0:c r="D15" s="45" t="str">
        <ns0:v>httpStatus = 400
response.code = "INVALID_DEPARTMENT"
database.updatedRows = 0</ns0:v>
      </ns0:c>
      <ns0:c r="E15" s="39" t="str">
        <ns0:v>queueTicket.status = "WAITING"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IT06-004</ns0:v>
      </ns0:c>
      <ns0:c r="B16" s="39" t="str">
        <ns0:v>Accept boundary value for visit status</ns0:v>
      </ns0:c>
      <ns0:c r="C16" s="39" t="str">
        <ns0:v>customerVisit.status = "CHECKED_IN"
temperature = 36.8
POST /api/v1/queue-tickets/QUE-1001/call</ns0:v>
      </ns0:c>
      <ns0:c r="D16" s="45" t="str">
        <ns0:v>httpStatus = 200
response.visitstatus = "\"CHECKED_IN\""
database.updatedRows = 1</ns0:v>
      </ns0:c>
      <ns0:c r="E16" s="39" t="str">
        <ns0:v>queueTicket.status = "WAITING"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IT06-005</ns0:v>
      </ns0:c>
      <ns0:c r="B18" s="39" t="str">
        <ns0:v>Reject invalid temperature</ns0:v>
      </ns0:c>
      <ns0:c r="C18" s="39" t="str">
        <ns0:v>temperature = 50.0
POST /api/v1/queue-tickets/QUE-1001/call</ns0:v>
      </ns0:c>
      <ns0:c r="D18" s="45" t="str">
        <ns0:v>httpStatus = 400
response.code = "INVALID_TEMPERATURE"
database.updatedRows = 0</ns0:v>
      </ns0:c>
      <ns0:c r="E18" s="39" t="str">
        <ns0:v>queueTicket.status = "WAITING"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IT06-006</ns0:v>
      </ns0:c>
      <ns0:c r="B19" s="39" t="str">
        <ns0:v>Reject invalid medical record count</ns0:v>
      </ns0:c>
      <ns0:c r="C19" s="39" t="str">
        <ns0:v>medicalRecord.count = 1
POST /api/v1/queue-tickets/QUE-1001/call</ns0:v>
      </ns0:c>
      <ns0:c r="D19" s="45" t="str">
        <ns0:v>httpStatus = 409
response.code = "INVALID_MEDICAL_RECORD_COUNT"
database.updatedRows = 0</ns0:v>
      </ns0:c>
      <ns0:c r="E19" s="39" t="str">
        <ns0:v>medicalRecord.count = 1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26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record status</x:v>
      </x:c>
      <x:c r="B3" s="129" t="str">
        <x:v>medicalRecord.status = "IN_PROGRESS"</x:v>
      </x:c>
      <x:c r="C3" s="129" t="str">
        <x:v>V1</x:v>
      </x:c>
      <x:c r="D3" s="129" t="str">
        <x:v>medicalRecord.status = "COMPLETED"</x:v>
      </x:c>
      <x:c r="E3" s="129" t="str">
        <x:v>I1</x:v>
      </x:c>
      <x:c r="F3" s="129" t="str">
        <x:v>medicalRecord.status = "IN_PROGRESS"</x:v>
      </x:c>
      <x:c r="G3" s="129" t="str">
        <x:v>B1</x:v>
      </x:c>
      <x:c r="H3" s="129" t="str">
        <x:v>medicalRecord.status = "COMPLETED"</x:v>
      </x:c>
      <x:c r="I3" s="129" t="str">
        <x:v>IB1</x:v>
      </x:c>
    </x:row>
    <x:row r="4" ht="42" customHeight="1">
      <x:c r="A4" s="130" t="str">
        <x:v>doctorId</x:v>
      </x:c>
      <x:c r="B4" s="129" t="str">
        <x:v>doctorId = "STF-DOC-01"</x:v>
      </x:c>
      <x:c r="C4" s="129" t="str">
        <x:v>V2</x:v>
      </x:c>
      <x:c r="D4" s="129" t="str">
        <x:v>doctorId = "STF-DOC-99"</x:v>
      </x:c>
      <x:c r="E4" s="129" t="str">
        <x:v>I2</x:v>
      </x:c>
      <x:c r="F4" s="129" t="str">
        <x:v>doctorId = "STF-DOC-01"</x:v>
      </x:c>
      <x:c r="G4" s="129" t="str">
        <x:v>B2</x:v>
      </x:c>
      <x:c r="H4" s="129" t="str">
        <x:v>doctorId = "STF-DOC-99"</x:v>
      </x:c>
      <x:c r="I4" s="129" t="str">
        <x:v>IB2</x:v>
      </x:c>
    </x:row>
    <x:row r="5" ht="42" customHeight="1">
      <x:c r="A5" s="130" t="str">
        <x:v>icd10Code</x:v>
      </x:c>
      <x:c r="B5" s="129" t="str">
        <x:v>icd10Code = "J00"</x:v>
      </x:c>
      <x:c r="C5" s="129" t="str">
        <x:v>V3</x:v>
      </x:c>
      <x:c r="D5" s="129" t="str">
        <x:v>icd10Code = "ZZZ"</x:v>
      </x:c>
      <x:c r="E5" s="129" t="str">
        <x:v>I3</x:v>
      </x:c>
      <x:c r="F5" s="129" t="str">
        <x:v>icd10Code = "J00"</x:v>
      </x:c>
      <x:c r="G5" s="129" t="str">
        <x:v>B3</x:v>
      </x:c>
      <x:c r="H5" s="129" t="str">
        <x:v>icd10Code = "ZZZ"</x:v>
      </x:c>
      <x:c r="I5" s="129" t="str">
        <x:v>IB3</x:v>
      </x:c>
    </x:row>
    <x:row r="6" ht="42" customHeight="1">
      <x:c r="A6" s="130" t="str">
        <x:v>medicineId</x:v>
      </x:c>
      <x:c r="B6" s="129" t="str">
        <x:v>medicineId = "MED-001"</x:v>
      </x:c>
      <x:c r="C6" s="129" t="str">
        <x:v>V4</x:v>
      </x:c>
      <x:c r="D6" s="129" t="str">
        <x:v>medicineId = "MED-999"</x:v>
      </x:c>
      <x:c r="E6" s="129" t="str">
        <x:v>I4</x:v>
      </x:c>
      <x:c r="F6" s="129" t="str">
        <x:v>medicineId = "MED-001"</x:v>
      </x:c>
      <x:c r="G6" s="129" t="str">
        <x:v>B4</x:v>
      </x:c>
      <x:c r="H6" s="129" t="str">
        <x:v>medicineId = "MED-999"</x:v>
      </x:c>
      <x:c r="I6" s="129" t="str">
        <x:v>IB4</x:v>
      </x:c>
    </x:row>
    <x:row r="7" ht="42" customHeight="1">
      <x:c r="A7" s="130" t="str">
        <x:v>quantity</x:v>
      </x:c>
      <x:c r="B7" s="129" t="str">
        <x:v>quantity = 10</x:v>
      </x:c>
      <x:c r="C7" s="129" t="str">
        <x:v>V5</x:v>
      </x:c>
      <x:c r="D7" s="129" t="str">
        <x:v>quantity = 0</x:v>
      </x:c>
      <x:c r="E7" s="129" t="str">
        <x:v>I5</x:v>
      </x:c>
      <x:c r="F7" s="129" t="str">
        <x:v>quantity = 10</x:v>
      </x:c>
      <x:c r="G7" s="129" t="str">
        <x:v>B5</x:v>
      </x:c>
      <x:c r="H7" s="129" t="str">
        <x:v>quantity = 0</x:v>
      </x:c>
      <x:c r="I7" s="129" t="str">
        <x:v>IB5</x:v>
      </x:c>
    </x:row>
    <x:row r="8" ht="42" customHeight="1">
      <x:c r="A8" s="130" t="str">
        <x:v>dose</x:v>
      </x:c>
      <x:c r="B8" s="129" t="str">
        <x:v>dose = "1 tablet twice daily"</x:v>
      </x:c>
      <x:c r="C8" s="129" t="str">
        <x:v>V6</x:v>
      </x:c>
      <x:c r="D8" s="129" t="str">
        <x:v>dose = ""</x:v>
      </x:c>
      <x:c r="E8" s="129" t="str">
        <x:v>I6</x:v>
      </x:c>
      <x:c r="F8" s="129" t="str">
        <x:v>dose = "1 tablet twice daily"</x:v>
      </x:c>
      <x:c r="G8" s="129" t="str">
        <x:v>B6</x:v>
      </x:c>
      <x:c r="H8" s="129" t="str">
        <x:v>dose = ""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medicalRecord.status = "IN_PROGRESS"
doctorId = "STF-DOC-01"
icd10Code = "J00"
PUT /api/doctor/examinations/MR-1001</x:v>
      </x:c>
      <x:c r="C3" s="151" t="str">
        <x:v>httpStatus = 200
response.flow = "IT07"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medicalRecord.status = "COMPLETED"
doctorId = "STF-DOC-01"
PUT /api/doctor/examinations/MR-1001</x:v>
      </x:c>
      <x:c r="C4" s="151" t="str">
        <x:v>httpStatus = 404
response.code = "EXAMINATION_NOT_FOUND"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medicalRecord.status = "IN_PROGRESS"
doctorId = "STF-DOC-99"
PUT /api/doctor/examinations/MR-1001</x:v>
      </x:c>
      <x:c r="C5" s="151" t="str">
        <x:v>httpStatus = 400
response.code = "INVALID_DOCTORID"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medicineId = "MED-001"
quantity = 10
PUT /api/doctor/examinations/MR-1001</x:v>
      </x:c>
      <x:c r="C6" s="151" t="str">
        <x:v>httpStatus = 200
response.medicineId = "\"MED-001\""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quantity = 0
PUT /api/doctor/examinations/MR-1001</x:v>
      </x:c>
      <x:c r="C7" s="151" t="str">
        <x:v>httpStatus = 400
response.code = "INVALID_QUANTITY"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dose = ""
PUT /api/doctor/examinations/MR-1001</x:v>
      </x:c>
      <x:c r="C8" s="151" t="str">
        <x:v>httpStatus = 409
response.code = "INVALID_DOSE"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28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IT07 - Diagnosis and prescription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Visit -&gt; MedicalRecord -&gt; ICD-10 -&gt; Prescription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IT07-001</ns0:v>
      </ns0:c>
      <ns0:c r="B12" s="39" t="str">
        <ns0:v>Create or process diagnosis and prescription</ns0:v>
      </ns0:c>
      <ns0:c r="C12" s="39" t="str">
        <ns0:v>medicalRecord.status = "IN_PROGRESS"
doctorId = "STF-DOC-01"
icd10Code = "J00"
PUT /api/doctor/examinations/MR-1001</ns0:v>
      </ns0:c>
      <ns0:c r="D12" s="45" t="str">
        <ns0:v>httpStatus = 200
response.flow = "IT07"
database.updatedRows = 1</ns0:v>
      </ns0:c>
      <ns0:c r="E12" s="39" t="str">
        <ns0:v>medicalRecord.status = "IN_PROGRESS"
doctorId = "STF-DOC-01"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IT07-002</ns0:v>
      </ns0:c>
      <ns0:c r="B13" s="39" t="str">
        <ns0:v>Reject invalid record status</ns0:v>
      </ns0:c>
      <ns0:c r="C13" s="39" t="str">
        <ns0:v>medicalRecord.status = "COMPLETED"
doctorId = "STF-DOC-01"
PUT /api/doctor/examinations/MR-1001</ns0:v>
      </ns0:c>
      <ns0:c r="D13" s="45" t="str">
        <ns0:v>httpStatus = 404
response.code = "EXAMINATION_NOT_FOUND"
database.updatedRows = 0</ns0:v>
      </ns0:c>
      <ns0:c r="E13" s="39" t="str">
        <ns0:v>medicalRecord.status = "COMPLETED"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IT07-003</ns0:v>
      </ns0:c>
      <ns0:c r="B15" s="39" t="str">
        <ns0:v>Reject invalid doctorId</ns0:v>
      </ns0:c>
      <ns0:c r="C15" s="39" t="str">
        <ns0:v>medicalRecord.status = "IN_PROGRESS"
doctorId = "STF-DOC-99"
PUT /api/doctor/examinations/MR-1001</ns0:v>
      </ns0:c>
      <ns0:c r="D15" s="45" t="str">
        <ns0:v>httpStatus = 400
response.code = "INVALID_DOCTORID"
database.updatedRows = 0</ns0:v>
      </ns0:c>
      <ns0:c r="E15" s="39" t="str">
        <ns0:v>medicalRecord.status = "IN_PROGRESS"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IT07-004</ns0:v>
      </ns0:c>
      <ns0:c r="B16" s="39" t="str">
        <ns0:v>Accept boundary value for medicineId</ns0:v>
      </ns0:c>
      <ns0:c r="C16" s="39" t="str">
        <ns0:v>medicineId = "MED-001"
quantity = 10
PUT /api/doctor/examinations/MR-1001</ns0:v>
      </ns0:c>
      <ns0:c r="D16" s="45" t="str">
        <ns0:v>httpStatus = 200
response.medicineId = "\"MED-001\""
database.updatedRows = 1</ns0:v>
      </ns0:c>
      <ns0:c r="E16" s="39" t="str">
        <ns0:v>medicalRecord.status = "IN_PROGRESS"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IT07-005</ns0:v>
      </ns0:c>
      <ns0:c r="B18" s="39" t="str">
        <ns0:v>Reject invalid quantity</ns0:v>
      </ns0:c>
      <ns0:c r="C18" s="39" t="str">
        <ns0:v>quantity = 0
PUT /api/doctor/examinations/MR-1001</ns0:v>
      </ns0:c>
      <ns0:c r="D18" s="45" t="str">
        <ns0:v>httpStatus = 400
response.code = "INVALID_QUANTITY"
database.updatedRows = 0</ns0:v>
      </ns0:c>
      <ns0:c r="E18" s="39" t="str">
        <ns0:v>medicalRecord.status = "IN_PROGRESS"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IT07-006</ns0:v>
      </ns0:c>
      <ns0:c r="B19" s="39" t="str">
        <ns0:v>Reject invalid dose</ns0:v>
      </ns0:c>
      <ns0:c r="C19" s="39" t="str">
        <ns0:v>dose = ""
PUT /api/doctor/examinations/MR-1001</ns0:v>
      </ns0:c>
      <ns0:c r="D19" s="45" t="str">
        <ns0:v>httpStatus = 409
response.code = "INVALID_DOSE"
database.updatedRows = 0</ns0:v>
      </ns0:c>
      <ns0:c r="E19" s="39" t="str">
        <ns0:v>dose = ""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29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medicalRecordId</x:v>
      </x:c>
      <x:c r="B3" s="129" t="str">
        <x:v>medicalRecordId = "MR-1001"</x:v>
      </x:c>
      <x:c r="C3" s="129" t="str">
        <x:v>V1</x:v>
      </x:c>
      <x:c r="D3" s="129" t="str">
        <x:v>medicalRecordId = "MR-9999"</x:v>
      </x:c>
      <x:c r="E3" s="129" t="str">
        <x:v>I1</x:v>
      </x:c>
      <x:c r="F3" s="129" t="str">
        <x:v>medicalRecordId = "MR-1001"</x:v>
      </x:c>
      <x:c r="G3" s="129" t="str">
        <x:v>B1</x:v>
      </x:c>
      <x:c r="H3" s="129" t="str">
        <x:v>medicalRecordId = "MR-9999"</x:v>
      </x:c>
      <x:c r="I3" s="129" t="str">
        <x:v>IB1</x:v>
      </x:c>
    </x:row>
    <x:row r="4" ht="42" customHeight="1">
      <x:c r="A4" s="130" t="str">
        <x:v>serviceId</x:v>
      </x:c>
      <x:c r="B4" s="129" t="str">
        <x:v>serviceId = "SRV-LAB-CBC"</x:v>
      </x:c>
      <x:c r="C4" s="129" t="str">
        <x:v>V2</x:v>
      </x:c>
      <x:c r="D4" s="129" t="str">
        <x:v>serviceId = "SRV-UNKNOWN"</x:v>
      </x:c>
      <x:c r="E4" s="129" t="str">
        <x:v>I2</x:v>
      </x:c>
      <x:c r="F4" s="129" t="str">
        <x:v>serviceId = "SRV-LAB-CBC"</x:v>
      </x:c>
      <x:c r="G4" s="129" t="str">
        <x:v>B2</x:v>
      </x:c>
      <x:c r="H4" s="129" t="str">
        <x:v>serviceId = "SRV-UNKNOWN"</x:v>
      </x:c>
      <x:c r="I4" s="129" t="str">
        <x:v>IB2</x:v>
      </x:c>
    </x:row>
    <x:row r="5" ht="42" customHeight="1">
      <x:c r="A5" s="130" t="str">
        <x:v>department status</x:v>
      </x:c>
      <x:c r="B5" s="129" t="str">
        <x:v>department.status = "ACTIVE"</x:v>
      </x:c>
      <x:c r="C5" s="129" t="str">
        <x:v>V3</x:v>
      </x:c>
      <x:c r="D5" s="129" t="str">
        <x:v>department.status = "MAINTENANCE"</x:v>
      </x:c>
      <x:c r="E5" s="129" t="str">
        <x:v>I3</x:v>
      </x:c>
      <x:c r="F5" s="129" t="str">
        <x:v>department.status = "ACTIVE"</x:v>
      </x:c>
      <x:c r="G5" s="129" t="str">
        <x:v>B3</x:v>
      </x:c>
      <x:c r="H5" s="129" t="str">
        <x:v>department.status = "MAINTENANCE"</x:v>
      </x:c>
      <x:c r="I5" s="129" t="str">
        <x:v>IB3</x:v>
      </x:c>
    </x:row>
    <x:row r="6" ht="42" customHeight="1">
      <x:c r="A6" s="130" t="str">
        <x:v>request count</x:v>
      </x:c>
      <x:c r="B6" s="129" t="str">
        <x:v>sameServiceRequest.count = 0</x:v>
      </x:c>
      <x:c r="C6" s="129" t="str">
        <x:v>V4</x:v>
      </x:c>
      <x:c r="D6" s="129" t="str">
        <x:v>sameServiceRequest.count = 1</x:v>
      </x:c>
      <x:c r="E6" s="129" t="str">
        <x:v>I4</x:v>
      </x:c>
      <x:c r="F6" s="129" t="str">
        <x:v>sameServiceRequest.count = 0</x:v>
      </x:c>
      <x:c r="G6" s="129" t="str">
        <x:v>B4</x:v>
      </x:c>
      <x:c r="H6" s="129" t="str">
        <x:v>sameServiceRequest.count = 1</x:v>
      </x:c>
      <x:c r="I6" s="129" t="str">
        <x:v>IB4</x:v>
      </x:c>
    </x:row>
    <x:row r="7" ht="42" customHeight="1">
      <x:c r="A7" s="130" t="str">
        <x:v>serviceIds</x:v>
      </x:c>
      <x:c r="B7" s="129" t="str">
        <x:v>serviceIds = ["SRV-LAB-CBC"]</x:v>
      </x:c>
      <x:c r="C7" s="129" t="str">
        <x:v>V5</x:v>
      </x:c>
      <x:c r="D7" s="129" t="str">
        <x:v>serviceIds = []</x:v>
      </x:c>
      <x:c r="E7" s="129" t="str">
        <x:v>I5</x:v>
      </x:c>
      <x:c r="F7" s="129" t="str">
        <x:v>serviceIds = ["SRV-LAB-CBC"]</x:v>
      </x:c>
      <x:c r="G7" s="129" t="str">
        <x:v>B5</x:v>
      </x:c>
      <x:c r="H7" s="129" t="str">
        <x:v>serviceIds = []</x:v>
      </x:c>
      <x:c r="I7" s="129" t="str">
        <x:v>IB5</x:v>
      </x:c>
    </x:row>
    <x:row r="8" ht="42" customHeight="1">
      <x:c r="A8" s="130" t="str">
        <x:v>queue status</x:v>
      </x:c>
      <x:c r="B8" s="129" t="str">
        <x:v>queueTicket.status = "WAITING"</x:v>
      </x:c>
      <x:c r="C8" s="129" t="str">
        <x:v>V6</x:v>
      </x:c>
      <x:c r="D8" s="129" t="str">
        <x:v>queueTicket.status = "BLOCKED"</x:v>
      </x:c>
      <x:c r="E8" s="129" t="str">
        <x:v>I6</x:v>
      </x:c>
      <x:c r="F8" s="129" t="str">
        <x:v>queueTicket.status = "WAITING"</x:v>
      </x:c>
      <x:c r="G8" s="129" t="str">
        <x:v>B6</x:v>
      </x:c>
      <x:c r="H8" s="129" t="str">
        <x:v>queueTicket.status = "BLOCKED"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medicalRecordId = "MR-1001"
serviceId = "SRV-LAB-CBC"
department.status = "ACTIVE"
POST /api/v1/test-requests</x:v>
      </x:c>
      <x:c r="C3" s="151" t="str">
        <x:v>httpStatus = 200
response.flow = "IT08"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medicalRecordId = "MR-9999"
serviceId = "SRV-LAB-CBC"
POST /api/v1/test-requests</x:v>
      </x:c>
      <x:c r="C4" s="151" t="str">
        <x:v>httpStatus = 404
response.code = "TESTORDER_NOT_FOUND"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medicalRecordId = "MR-1001"
serviceId = "SRV-UNKNOWN"
POST /api/v1/test-requests</x:v>
      </x:c>
      <x:c r="C5" s="151" t="str">
        <x:v>httpStatus = 400
response.code = "INVALID_SERVICEID"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sameServiceRequest.count = 0
serviceIds = ["SRV-LAB-CBC"]
POST /api/v1/test-requests</x:v>
      </x:c>
      <x:c r="C6" s="151" t="str">
        <x:v>httpStatus = 200
response.requestcount = "0"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serviceIds = []
POST /api/v1/test-requests</x:v>
      </x:c>
      <x:c r="C7" s="151" t="str">
        <x:v>httpStatus = 400
response.code = "INVALID_SERVICEIDS"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queueTicket.status = "BLOCKED"
POST /api/v1/test-requests</x:v>
      </x:c>
      <x:c r="C8" s="151" t="str">
        <x:v>httpStatus = 409
response.code = "INVALID_QUEUE_STATUS"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1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IT08 - Clinical test ordering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MedicalRecord -&gt; TestRequest -&gt; Department -&gt; QueueTicket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IT08-001</ns0:v>
      </ns0:c>
      <ns0:c r="B12" s="39" t="str">
        <ns0:v>Create or process clinical test ordering</ns0:v>
      </ns0:c>
      <ns0:c r="C12" s="39" t="str">
        <ns0:v>medicalRecordId = "MR-1001"
serviceId = "SRV-LAB-CBC"
department.status = "ACTIVE"
POST /api/v1/test-requests</ns0:v>
      </ns0:c>
      <ns0:c r="D12" s="45" t="str">
        <ns0:v>httpStatus = 200
response.flow = "IT08"
database.updatedRows = 1</ns0:v>
      </ns0:c>
      <ns0:c r="E12" s="39" t="str">
        <ns0:v>medicalRecordId = "MR-1001"
serviceId = "SRV-LAB-CBC"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IT08-002</ns0:v>
      </ns0:c>
      <ns0:c r="B13" s="39" t="str">
        <ns0:v>Reject invalid medicalRecordId</ns0:v>
      </ns0:c>
      <ns0:c r="C13" s="39" t="str">
        <ns0:v>medicalRecordId = "MR-9999"
serviceId = "SRV-LAB-CBC"
POST /api/v1/test-requests</ns0:v>
      </ns0:c>
      <ns0:c r="D13" s="45" t="str">
        <ns0:v>httpStatus = 404
response.code = "TESTORDER_NOT_FOUND"
database.updatedRows = 0</ns0:v>
      </ns0:c>
      <ns0:c r="E13" s="39" t="str">
        <ns0:v>medicalRecordId = "MR-9999"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IT08-003</ns0:v>
      </ns0:c>
      <ns0:c r="B15" s="39" t="str">
        <ns0:v>Reject invalid serviceId</ns0:v>
      </ns0:c>
      <ns0:c r="C15" s="39" t="str">
        <ns0:v>medicalRecordId = "MR-1001"
serviceId = "SRV-UNKNOWN"
POST /api/v1/test-requests</ns0:v>
      </ns0:c>
      <ns0:c r="D15" s="45" t="str">
        <ns0:v>httpStatus = 400
response.code = "INVALID_SERVICEID"
database.updatedRows = 0</ns0:v>
      </ns0:c>
      <ns0:c r="E15" s="39" t="str">
        <ns0:v>medicalRecordId = "MR-1001"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IT08-004</ns0:v>
      </ns0:c>
      <ns0:c r="B16" s="39" t="str">
        <ns0:v>Accept boundary value for request count</ns0:v>
      </ns0:c>
      <ns0:c r="C16" s="39" t="str">
        <ns0:v>sameServiceRequest.count = 0
serviceIds = ["SRV-LAB-CBC"]
POST /api/v1/test-requests</ns0:v>
      </ns0:c>
      <ns0:c r="D16" s="45" t="str">
        <ns0:v>httpStatus = 200
response.requestcount = "0"
database.updatedRows = 1</ns0:v>
      </ns0:c>
      <ns0:c r="E16" s="39" t="str">
        <ns0:v>medicalRecordId = "MR-1001"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IT08-005</ns0:v>
      </ns0:c>
      <ns0:c r="B18" s="39" t="str">
        <ns0:v>Reject invalid serviceIds</ns0:v>
      </ns0:c>
      <ns0:c r="C18" s="39" t="str">
        <ns0:v>serviceIds = []
POST /api/v1/test-requests</ns0:v>
      </ns0:c>
      <ns0:c r="D18" s="45" t="str">
        <ns0:v>httpStatus = 400
response.code = "INVALID_SERVICEIDS"
database.updatedRows = 0</ns0:v>
      </ns0:c>
      <ns0:c r="E18" s="39" t="str">
        <ns0:v>medicalRecordId = "MR-1001"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IT08-006</ns0:v>
      </ns0:c>
      <ns0:c r="B19" s="39" t="str">
        <ns0:v>Reject invalid queue status</ns0:v>
      </ns0:c>
      <ns0:c r="C19" s="39" t="str">
        <ns0:v>queueTicket.status = "BLOCKED"
POST /api/v1/test-requests</ns0:v>
      </ns0:c>
      <ns0:c r="D19" s="45" t="str">
        <ns0:v>httpStatus = 409
response.code = "INVALID_QUEUE_STATUS"
database.updatedRows = 0</ns0:v>
      </ns0:c>
      <ns0:c r="E19" s="39" t="str">
        <ns0:v>queueTicket.status = "BLOCKED"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32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record status</x:v>
      </x:c>
      <x:c r="B3" s="129" t="str">
        <x:v>medicalRecord.status = "IN_PROGRESS"</x:v>
      </x:c>
      <x:c r="C3" s="129" t="str">
        <x:v>V1</x:v>
      </x:c>
      <x:c r="D3" s="129" t="str">
        <x:v>medicalRecord.status = "COMPLETED"</x:v>
      </x:c>
      <x:c r="E3" s="129" t="str">
        <x:v>I1</x:v>
      </x:c>
      <x:c r="F3" s="129" t="str">
        <x:v>medicalRecord.status = "IN_PROGRESS"</x:v>
      </x:c>
      <x:c r="G3" s="129" t="str">
        <x:v>B1</x:v>
      </x:c>
      <x:c r="H3" s="129" t="str">
        <x:v>medicalRecord.status = "COMPLETED"</x:v>
      </x:c>
      <x:c r="I3" s="129" t="str">
        <x:v>IB1</x:v>
      </x:c>
    </x:row>
    <x:row r="4" ht="42" customHeight="1">
      <x:c r="A4" s="130" t="str">
        <x:v>incomplete tests</x:v>
      </x:c>
      <x:c r="B4" s="129" t="str">
        <x:v>incompleteTestRequest.count = 0</x:v>
      </x:c>
      <x:c r="C4" s="129" t="str">
        <x:v>V2</x:v>
      </x:c>
      <x:c r="D4" s="129" t="str">
        <x:v>incompleteTestRequest.count = 1</x:v>
      </x:c>
      <x:c r="E4" s="129" t="str">
        <x:v>I2</x:v>
      </x:c>
      <x:c r="F4" s="129" t="str">
        <x:v>incompleteTestRequest.count = 0</x:v>
      </x:c>
      <x:c r="G4" s="129" t="str">
        <x:v>B2</x:v>
      </x:c>
      <x:c r="H4" s="129" t="str">
        <x:v>incompleteTestRequest.count = 1</x:v>
      </x:c>
      <x:c r="I4" s="129" t="str">
        <x:v>IB2</x:v>
      </x:c>
    </x:row>
    <x:row r="5" ht="42" customHeight="1">
      <x:c r="A5" s="130" t="str">
        <x:v>visit status</x:v>
      </x:c>
      <x:c r="B5" s="129" t="str">
        <x:v>customerVisit.status = "IN_PROGRESS"</x:v>
      </x:c>
      <x:c r="C5" s="129" t="str">
        <x:v>V3</x:v>
      </x:c>
      <x:c r="D5" s="129" t="str">
        <x:v>customerVisit.status = "COMPLETED"</x:v>
      </x:c>
      <x:c r="E5" s="129" t="str">
        <x:v>I3</x:v>
      </x:c>
      <x:c r="F5" s="129" t="str">
        <x:v>customerVisit.status = "IN_PROGRESS"</x:v>
      </x:c>
      <x:c r="G5" s="129" t="str">
        <x:v>B3</x:v>
      </x:c>
      <x:c r="H5" s="129" t="str">
        <x:v>customerVisit.status = "COMPLETED"</x:v>
      </x:c>
      <x:c r="I5" s="129" t="str">
        <x:v>IB3</x:v>
      </x:c>
    </x:row>
    <x:row r="6" ht="42" customHeight="1">
      <x:c r="A6" s="130" t="str">
        <x:v>followUpDate</x:v>
      </x:c>
      <x:c r="B6" s="129" t="str">
        <x:v>followUpDate = "2026-08-20"</x:v>
      </x:c>
      <x:c r="C6" s="129" t="str">
        <x:v>V4</x:v>
      </x:c>
      <x:c r="D6" s="129" t="str">
        <x:v>followUpDate = "2026-08-10"</x:v>
      </x:c>
      <x:c r="E6" s="129" t="str">
        <x:v>I4</x:v>
      </x:c>
      <x:c r="F6" s="129" t="str">
        <x:v>followUpDate = "2026-08-20"</x:v>
      </x:c>
      <x:c r="G6" s="129" t="str">
        <x:v>B4</x:v>
      </x:c>
      <x:c r="H6" s="129" t="str">
        <x:v>followUpDate = "2026-08-10"</x:v>
      </x:c>
      <x:c r="I6" s="129" t="str">
        <x:v>IB4</x:v>
      </x:c>
    </x:row>
    <x:row r="7" ht="42" customHeight="1">
      <x:c r="A7" s="130" t="str">
        <x:v>serviceId</x:v>
      </x:c>
      <x:c r="B7" s="129" t="str">
        <x:v>serviceId = "SRV-GENERAL-01"</x:v>
      </x:c>
      <x:c r="C7" s="129" t="str">
        <x:v>V5</x:v>
      </x:c>
      <x:c r="D7" s="129" t="str">
        <x:v>serviceId = "SRV-UNKNOWN"</x:v>
      </x:c>
      <x:c r="E7" s="129" t="str">
        <x:v>I5</x:v>
      </x:c>
      <x:c r="F7" s="129" t="str">
        <x:v>serviceId = "SRV-GENERAL-01"</x:v>
      </x:c>
      <x:c r="G7" s="129" t="str">
        <x:v>B5</x:v>
      </x:c>
      <x:c r="H7" s="129" t="str">
        <x:v>serviceId = "SRV-UNKNOWN"</x:v>
      </x:c>
      <x:c r="I7" s="129" t="str">
        <x:v>IB5</x:v>
      </x:c>
    </x:row>
    <x:row r="8" ht="42" customHeight="1">
      <x:c r="A8" s="130" t="str">
        <x:v>rating</x:v>
      </x:c>
      <x:c r="B8" s="129" t="str">
        <x:v>rating = 5</x:v>
      </x:c>
      <x:c r="C8" s="129" t="str">
        <x:v>V6</x:v>
      </x:c>
      <x:c r="D8" s="129" t="str">
        <x:v>rating = 6</x:v>
      </x:c>
      <x:c r="E8" s="129" t="str">
        <x:v>I6</x:v>
      </x:c>
      <x:c r="F8" s="129" t="str">
        <x:v>rating = 5</x:v>
      </x:c>
      <x:c r="G8" s="129" t="str">
        <x:v>B6</x:v>
      </x:c>
      <x:c r="H8" s="129" t="str">
        <x:v>rating = 6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medicalRecord.status = "IN_PROGRESS"
incompleteTestRequest.count = 0
customerVisit.status = "IN_PROGRESS"
POST /api/v1/medical-records/MR-1001/complete</x:v>
      </x:c>
      <x:c r="C3" s="151" t="str">
        <x:v>httpStatus = 200
response.flow = "IT10"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medicalRecord.status = "COMPLETED"
incompleteTestRequest.count = 0
POST /api/v1/medical-records/MR-1001/complete</x:v>
      </x:c>
      <x:c r="C4" s="151" t="str">
        <x:v>httpStatus = 404
response.code = "COMPLETEFOLLOWUP_NOT_FOUND"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medicalRecord.status = "IN_PROGRESS"
incompleteTestRequest.count = 1
POST /api/v1/medical-records/MR-1001/complete</x:v>
      </x:c>
      <x:c r="C5" s="151" t="str">
        <x:v>httpStatus = 400
response.code = "INVALID_INCOMPLETE_TESTS"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followUpDate = "2026-08-20"
serviceId = "SRV-GENERAL-01"
POST /api/v1/medical-records/MR-1001/complete</x:v>
      </x:c>
      <x:c r="C6" s="151" t="str">
        <x:v>httpStatus = 200
response.followUpDate = "\"2026-08-20\""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serviceId = "SRV-UNKNOWN"
POST /api/v1/medical-records/MR-1001/complete</x:v>
      </x:c>
      <x:c r="C7" s="151" t="str">
        <x:v>httpStatus = 400
response.code = "INVALID_SERVICEID"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rating = 6
POST /api/v1/medical-records/MR-1001/complete</x:v>
      </x:c>
      <x:c r="C8" s="151" t="str">
        <x:v>httpStatus = 409
response.code = "INVALID_RATING"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4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IT10 - Examination completion and follow-up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MedicalRecord -&gt; Visit -&gt; Queue -&gt; Follow-up Appointment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IT10-001</ns0:v>
      </ns0:c>
      <ns0:c r="B12" s="39" t="str">
        <ns0:v>Create or process examination completion and follow-up</ns0:v>
      </ns0:c>
      <ns0:c r="C12" s="39" t="str">
        <ns0:v>medicalRecord.status = "IN_PROGRESS"
incompleteTestRequest.count = 0
customerVisit.status = "IN_PROGRESS"
POST /api/v1/medical-records/MR-1001/complete</ns0:v>
      </ns0:c>
      <ns0:c r="D12" s="45" t="str">
        <ns0:v>httpStatus = 200
response.flow = "IT10"
database.updatedRows = 1</ns0:v>
      </ns0:c>
      <ns0:c r="E12" s="39" t="str">
        <ns0:v>medicalRecord.status = "IN_PROGRESS"
incompleteTestRequest.count = 0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IT10-002</ns0:v>
      </ns0:c>
      <ns0:c r="B13" s="39" t="str">
        <ns0:v>Reject invalid record status</ns0:v>
      </ns0:c>
      <ns0:c r="C13" s="39" t="str">
        <ns0:v>medicalRecord.status = "COMPLETED"
incompleteTestRequest.count = 0
POST /api/v1/medical-records/MR-1001/complete</ns0:v>
      </ns0:c>
      <ns0:c r="D13" s="45" t="str">
        <ns0:v>httpStatus = 404
response.code = "COMPLETEFOLLOWUP_NOT_FOUND"
database.updatedRows = 0</ns0:v>
      </ns0:c>
      <ns0:c r="E13" s="39" t="str">
        <ns0:v>medicalRecord.status = "COMPLETED"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IT10-003</ns0:v>
      </ns0:c>
      <ns0:c r="B15" s="39" t="str">
        <ns0:v>Reject invalid incomplete tests</ns0:v>
      </ns0:c>
      <ns0:c r="C15" s="39" t="str">
        <ns0:v>medicalRecord.status = "IN_PROGRESS"
incompleteTestRequest.count = 1
POST /api/v1/medical-records/MR-1001/complete</ns0:v>
      </ns0:c>
      <ns0:c r="D15" s="45" t="str">
        <ns0:v>httpStatus = 400
response.code = "INVALID_INCOMPLETE_TESTS"
database.updatedRows = 0</ns0:v>
      </ns0:c>
      <ns0:c r="E15" s="39" t="str">
        <ns0:v>medicalRecord.status = "IN_PROGRESS"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IT10-004</ns0:v>
      </ns0:c>
      <ns0:c r="B16" s="39" t="str">
        <ns0:v>Accept boundary value for followUpDate</ns0:v>
      </ns0:c>
      <ns0:c r="C16" s="39" t="str">
        <ns0:v>followUpDate = "2026-08-20"
serviceId = "SRV-GENERAL-01"
POST /api/v1/medical-records/MR-1001/complete</ns0:v>
      </ns0:c>
      <ns0:c r="D16" s="45" t="str">
        <ns0:v>httpStatus = 200
response.followUpDate = "\"2026-08-20\""
database.updatedRows = 1</ns0:v>
      </ns0:c>
      <ns0:c r="E16" s="39" t="str">
        <ns0:v>medicalRecord.status = "IN_PROGRESS"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IT10-005</ns0:v>
      </ns0:c>
      <ns0:c r="B18" s="39" t="str">
        <ns0:v>Reject invalid serviceId</ns0:v>
      </ns0:c>
      <ns0:c r="C18" s="39" t="str">
        <ns0:v>serviceId = "SRV-UNKNOWN"
POST /api/v1/medical-records/MR-1001/complete</ns0:v>
      </ns0:c>
      <ns0:c r="D18" s="45" t="str">
        <ns0:v>httpStatus = 400
response.code = "INVALID_SERVICEID"
database.updatedRows = 0</ns0:v>
      </ns0:c>
      <ns0:c r="E18" s="39" t="str">
        <ns0:v>medicalRecord.status = "IN_PROGRESS"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IT10-006</ns0:v>
      </ns0:c>
      <ns0:c r="B19" s="39" t="str">
        <ns0:v>Reject invalid rating</ns0:v>
      </ns0:c>
      <ns0:c r="C19" s="39" t="str">
        <ns0:v>rating = 6
POST /api/v1/medical-records/MR-1001/complete</ns0:v>
      </ns0:c>
      <ns0:c r="D19" s="45" t="str">
        <ns0:v>httpStatus = 409
response.code = "INVALID_RATING"
database.updatedRows = 0</ns0:v>
      </ns0:c>
      <ns0:c r="E19" s="39" t="str">
        <ns0:v>rating = 6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35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insuranceCode</x:v>
      </x:c>
      <x:c r="B3" s="129" t="str">
        <x:v>insuranceCode = "BH1234567890123"</x:v>
      </x:c>
      <x:c r="C3" s="129" t="str">
        <x:v>V1</x:v>
      </x:c>
      <x:c r="D3" s="129" t="str">
        <x:v>insuranceCode = "BH0000000000000"</x:v>
      </x:c>
      <x:c r="E3" s="129" t="str">
        <x:v>I1</x:v>
      </x:c>
      <x:c r="F3" s="129" t="str">
        <x:v>insuranceCode = "BH1234567890123"</x:v>
      </x:c>
      <x:c r="G3" s="129" t="str">
        <x:v>B1</x:v>
      </x:c>
      <x:c r="H3" s="129" t="str">
        <x:v>insuranceCode = "BH0000000000000"</x:v>
      </x:c>
      <x:c r="I3" s="129" t="str">
        <x:v>IB1</x:v>
      </x:c>
    </x:row>
    <x:row r="4" ht="42" customHeight="1">
      <x:c r="A4" s="130" t="str">
        <x:v>insurance status</x:v>
      </x:c>
      <x:c r="B4" s="129" t="str">
        <x:v>insurance.status = "ACTIVE"</x:v>
      </x:c>
      <x:c r="C4" s="129" t="str">
        <x:v>V2</x:v>
      </x:c>
      <x:c r="D4" s="129" t="str">
        <x:v>insurance.status = "EXPIRED"</x:v>
      </x:c>
      <x:c r="E4" s="129" t="str">
        <x:v>I2</x:v>
      </x:c>
      <x:c r="F4" s="129" t="str">
        <x:v>insurance.status = "ACTIVE"</x:v>
      </x:c>
      <x:c r="G4" s="129" t="str">
        <x:v>B2</x:v>
      </x:c>
      <x:c r="H4" s="129" t="str">
        <x:v>insurance.status = "EXPIRED"</x:v>
      </x:c>
      <x:c r="I4" s="129" t="str">
        <x:v>IB2</x:v>
      </x:c>
    </x:row>
    <x:row r="5" ht="42" customHeight="1">
      <x:c r="A5" s="130" t="str">
        <x:v>invoice status</x:v>
      </x:c>
      <x:c r="B5" s="129" t="str">
        <x:v>invoice.status = "PENDING"</x:v>
      </x:c>
      <x:c r="C5" s="129" t="str">
        <x:v>V3</x:v>
      </x:c>
      <x:c r="D5" s="129" t="str">
        <x:v>invoice.status = "PAID"</x:v>
      </x:c>
      <x:c r="E5" s="129" t="str">
        <x:v>I3</x:v>
      </x:c>
      <x:c r="F5" s="129" t="str">
        <x:v>invoice.status = "PENDING"</x:v>
      </x:c>
      <x:c r="G5" s="129" t="str">
        <x:v>B3</x:v>
      </x:c>
      <x:c r="H5" s="129" t="str">
        <x:v>invoice.status = "PAID"</x:v>
      </x:c>
      <x:c r="I5" s="129" t="str">
        <x:v>IB3</x:v>
      </x:c>
    </x:row>
    <x:row r="6" ht="42" customHeight="1">
      <x:c r="A6" s="130" t="str">
        <x:v>coveredAmount</x:v>
      </x:c>
      <x:c r="B6" s="129" t="str">
        <x:v>coveredAmount = 400000</x:v>
      </x:c>
      <x:c r="C6" s="129" t="str">
        <x:v>V4</x:v>
      </x:c>
      <x:c r="D6" s="129" t="str">
        <x:v>coveredAmount = 600000</x:v>
      </x:c>
      <x:c r="E6" s="129" t="str">
        <x:v>I4</x:v>
      </x:c>
      <x:c r="F6" s="129" t="str">
        <x:v>coveredAmount = 400000</x:v>
      </x:c>
      <x:c r="G6" s="129" t="str">
        <x:v>B4</x:v>
      </x:c>
      <x:c r="H6" s="129" t="str">
        <x:v>coveredAmount = 600000</x:v>
      </x:c>
      <x:c r="I6" s="129" t="str">
        <x:v>IB4</x:v>
      </x:c>
    </x:row>
    <x:row r="7" ht="42" customHeight="1">
      <x:c r="A7" s="130" t="str">
        <x:v>transaction status</x:v>
      </x:c>
      <x:c r="B7" s="129" t="str">
        <x:v>transaction.status = "PENDING"</x:v>
      </x:c>
      <x:c r="C7" s="129" t="str">
        <x:v>V5</x:v>
      </x:c>
      <x:c r="D7" s="129" t="str">
        <x:v>transaction.status = "SUCCESS"</x:v>
      </x:c>
      <x:c r="E7" s="129" t="str">
        <x:v>I5</x:v>
      </x:c>
      <x:c r="F7" s="129" t="str">
        <x:v>transaction.status = "PENDING"</x:v>
      </x:c>
      <x:c r="G7" s="129" t="str">
        <x:v>B5</x:v>
      </x:c>
      <x:c r="H7" s="129" t="str">
        <x:v>transaction.status = "SUCCESS"</x:v>
      </x:c>
      <x:c r="I7" s="129" t="str">
        <x:v>IB5</x:v>
      </x:c>
    </x:row>
    <x:row r="8" ht="42" customHeight="1">
      <x:c r="A8" s="130" t="str">
        <x:v>invoice owner</x:v>
      </x:c>
      <x:c r="B8" s="129" t="str">
        <x:v>invoice.customerId = "CUS-1001"</x:v>
      </x:c>
      <x:c r="C8" s="129" t="str">
        <x:v>V6</x:v>
      </x:c>
      <x:c r="D8" s="129" t="str">
        <x:v>invoice.customerId = "CUS-2002"</x:v>
      </x:c>
      <x:c r="E8" s="129" t="str">
        <x:v>I6</x:v>
      </x:c>
      <x:c r="F8" s="129" t="str">
        <x:v>invoice.customerId = "CUS-1001"</x:v>
      </x:c>
      <x:c r="G8" s="129" t="str">
        <x:v>B6</x:v>
      </x:c>
      <x:c r="H8" s="129" t="str">
        <x:v>invoice.customerId = "CUS-2002"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insuranceCode = "BH1234567890123"
insurance.status = "ACTIVE"
invoice.status = "PENDING"
POST /api/v1/invoices/INV-1001/insurance</x:v>
      </x:c>
      <x:c r="C3" s="151" t="str">
        <x:v>httpStatus = 200
response.flow = "IT11"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insuranceCode = "BH0000000000000"
insurance.status = "ACTIVE"
POST /api/v1/invoices/INV-1001/insurance</x:v>
      </x:c>
      <x:c r="C4" s="151" t="str">
        <x:v>httpStatus = 404
response.code = "INSURANCETXN_NOT_FOUND"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insuranceCode = "BH1234567890123"
insurance.status = "EXPIRED"
POST /api/v1/invoices/INV-1001/insurance</x:v>
      </x:c>
      <x:c r="C5" s="151" t="str">
        <x:v>httpStatus = 400
response.code = "INVALID_INSURANCE_STATUS"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coveredAmount = 400000
transaction.status = "PENDING"
POST /api/v1/invoices/INV-1001/insurance</x:v>
      </x:c>
      <x:c r="C6" s="151" t="str">
        <x:v>httpStatus = 200
response.coveredAmount = "400000"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transaction.status = "SUCCESS"
POST /api/v1/invoices/INV-1001/insurance</x:v>
      </x:c>
      <x:c r="C7" s="151" t="str">
        <x:v>httpStatus = 400
response.code = "INVALID_TRANSACTION_STATUS"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invoice.customerId = "CUS-2002"
POST /api/v1/invoices/INV-1001/insurance</x:v>
      </x:c>
      <x:c r="C8" s="151" t="str">
        <x:v>httpStatus = 409
response.code = "INVALID_INVOICE_OWNER"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37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IT11 - Insurance and payment transaction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Insurance -&gt; Invoice -&gt; Transaction -&gt; Payment History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IT11-001</ns0:v>
      </ns0:c>
      <ns0:c r="B12" s="39" t="str">
        <ns0:v>Create or process insurance and payment transaction</ns0:v>
      </ns0:c>
      <ns0:c r="C12" s="39" t="str">
        <ns0:v>insuranceCode = "BH1234567890123"
insurance.status = "ACTIVE"
invoice.status = "PENDING"
POST /api/v1/invoices/INV-1001/insurance</ns0:v>
      </ns0:c>
      <ns0:c r="D12" s="45" t="str">
        <ns0:v>httpStatus = 200
response.flow = "IT11"
database.updatedRows = 1</ns0:v>
      </ns0:c>
      <ns0:c r="E12" s="39" t="str">
        <ns0:v>insuranceCode = "BH1234567890123"
insurance.status = "ACTIVE"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IT11-002</ns0:v>
      </ns0:c>
      <ns0:c r="B13" s="39" t="str">
        <ns0:v>Reject invalid insuranceCode</ns0:v>
      </ns0:c>
      <ns0:c r="C13" s="39" t="str">
        <ns0:v>insuranceCode = "BH0000000000000"
insurance.status = "ACTIVE"
POST /api/v1/invoices/INV-1001/insurance</ns0:v>
      </ns0:c>
      <ns0:c r="D13" s="45" t="str">
        <ns0:v>httpStatus = 404
response.code = "INSURANCETXN_NOT_FOUND"
database.updatedRows = 0</ns0:v>
      </ns0:c>
      <ns0:c r="E13" s="39" t="str">
        <ns0:v>insuranceCode = "BH0000000000000"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IT11-003</ns0:v>
      </ns0:c>
      <ns0:c r="B15" s="39" t="str">
        <ns0:v>Reject invalid insurance status</ns0:v>
      </ns0:c>
      <ns0:c r="C15" s="39" t="str">
        <ns0:v>insuranceCode = "BH1234567890123"
insurance.status = "EXPIRED"
POST /api/v1/invoices/INV-1001/insurance</ns0:v>
      </ns0:c>
      <ns0:c r="D15" s="45" t="str">
        <ns0:v>httpStatus = 400
response.code = "INVALID_INSURANCE_STATUS"
database.updatedRows = 0</ns0:v>
      </ns0:c>
      <ns0:c r="E15" s="39" t="str">
        <ns0:v>insuranceCode = "BH1234567890123"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IT11-004</ns0:v>
      </ns0:c>
      <ns0:c r="B16" s="39" t="str">
        <ns0:v>Accept boundary value for coveredAmount</ns0:v>
      </ns0:c>
      <ns0:c r="C16" s="39" t="str">
        <ns0:v>coveredAmount = 400000
transaction.status = "PENDING"
POST /api/v1/invoices/INV-1001/insurance</ns0:v>
      </ns0:c>
      <ns0:c r="D16" s="45" t="str">
        <ns0:v>httpStatus = 200
response.coveredAmount = "400000"
database.updatedRows = 1</ns0:v>
      </ns0:c>
      <ns0:c r="E16" s="39" t="str">
        <ns0:v>insuranceCode = "BH1234567890123"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IT11-005</ns0:v>
      </ns0:c>
      <ns0:c r="B18" s="39" t="str">
        <ns0:v>Reject invalid transaction status</ns0:v>
      </ns0:c>
      <ns0:c r="C18" s="39" t="str">
        <ns0:v>transaction.status = "SUCCESS"
POST /api/v1/invoices/INV-1001/insurance</ns0:v>
      </ns0:c>
      <ns0:c r="D18" s="45" t="str">
        <ns0:v>httpStatus = 400
response.code = "INVALID_TRANSACTION_STATUS"
database.updatedRows = 0</ns0:v>
      </ns0:c>
      <ns0:c r="E18" s="39" t="str">
        <ns0:v>insuranceCode = "BH1234567890123"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IT11-006</ns0:v>
      </ns0:c>
      <ns0:c r="B19" s="39" t="str">
        <ns0:v>Reject invalid invoice owner</ns0:v>
      </ns0:c>
      <ns0:c r="C19" s="39" t="str">
        <ns0:v>invoice.customerId = "CUS-2002"
POST /api/v1/invoices/INV-1001/insurance</ns0:v>
      </ns0:c>
      <ns0:c r="D19" s="45" t="str">
        <ns0:v>httpStatus = 409
response.code = "INVALID_INVOICE_OWNER"
database.updatedRows = 0</ns0:v>
      </ns0:c>
      <ns0:c r="E19" s="39" t="str">
        <ns0:v>invoice.customerId = "CUS-2002"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38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staff status</x:v>
      </x:c>
      <x:c r="B3" s="129" t="str">
        <x:v>staff.isActive = true</x:v>
      </x:c>
      <x:c r="C3" s="129" t="str">
        <x:v>V1</x:v>
      </x:c>
      <x:c r="D3" s="129" t="str">
        <x:v>staff.isActive = false</x:v>
      </x:c>
      <x:c r="E3" s="129" t="str">
        <x:v>I1</x:v>
      </x:c>
      <x:c r="F3" s="129" t="str">
        <x:v>staff.isActive = true</x:v>
      </x:c>
      <x:c r="G3" s="129" t="str">
        <x:v>B1</x:v>
      </x:c>
      <x:c r="H3" s="129" t="str">
        <x:v>staff.isActive = false</x:v>
      </x:c>
      <x:c r="I3" s="129" t="str">
        <x:v>IB1</x:v>
      </x:c>
    </x:row>
    <x:row r="4" ht="42" customHeight="1">
      <x:c r="A4" s="130" t="str">
        <x:v>staff role</x:v>
      </x:c>
      <x:c r="B4" s="129" t="str">
        <x:v>staff.systemRole = "DOCTOR"</x:v>
      </x:c>
      <x:c r="C4" s="129" t="str">
        <x:v>V2</x:v>
      </x:c>
      <x:c r="D4" s="129" t="str">
        <x:v>staff.systemRole = "CUSTOMER"</x:v>
      </x:c>
      <x:c r="E4" s="129" t="str">
        <x:v>I2</x:v>
      </x:c>
      <x:c r="F4" s="129" t="str">
        <x:v>staff.systemRole = "DOCTOR"</x:v>
      </x:c>
      <x:c r="G4" s="129" t="str">
        <x:v>B2</x:v>
      </x:c>
      <x:c r="H4" s="129" t="str">
        <x:v>staff.systemRole = "CUSTOMER"</x:v>
      </x:c>
      <x:c r="I4" s="129" t="str">
        <x:v>IB2</x:v>
      </x:c>
    </x:row>
    <x:row r="5" ht="42" customHeight="1">
      <x:c r="A5" s="130" t="str">
        <x:v>shift start</x:v>
      </x:c>
      <x:c r="B5" s="129" t="str">
        <x:v>startAt = "2026-08-13T08:00:00"</x:v>
      </x:c>
      <x:c r="C5" s="129" t="str">
        <x:v>V3</x:v>
      </x:c>
      <x:c r="D5" s="129" t="str">
        <x:v>startAt = "2026-08-13T08:30:00"</x:v>
      </x:c>
      <x:c r="E5" s="129" t="str">
        <x:v>I3</x:v>
      </x:c>
      <x:c r="F5" s="129" t="str">
        <x:v>startAt = "2026-08-13T08:00:00"</x:v>
      </x:c>
      <x:c r="G5" s="129" t="str">
        <x:v>B3</x:v>
      </x:c>
      <x:c r="H5" s="129" t="str">
        <x:v>startAt = "2026-08-13T08:30:00"</x:v>
      </x:c>
      <x:c r="I5" s="129" t="str">
        <x:v>IB3</x:v>
      </x:c>
    </x:row>
    <x:row r="6" ht="42" customHeight="1">
      <x:c r="A6" s="130" t="str">
        <x:v>shift end</x:v>
      </x:c>
      <x:c r="B6" s="129" t="str">
        <x:v>endAt = "2026-08-13T12:00:00"</x:v>
      </x:c>
      <x:c r="C6" s="129" t="str">
        <x:v>V4</x:v>
      </x:c>
      <x:c r="D6" s="129" t="str">
        <x:v>endAt = "2026-08-13T07:00:00"</x:v>
      </x:c>
      <x:c r="E6" s="129" t="str">
        <x:v>I4</x:v>
      </x:c>
      <x:c r="F6" s="129" t="str">
        <x:v>endAt = "2026-08-13T12:00:00"</x:v>
      </x:c>
      <x:c r="G6" s="129" t="str">
        <x:v>B4</x:v>
      </x:c>
      <x:c r="H6" s="129" t="str">
        <x:v>endAt = "2026-08-13T07:00:00"</x:v>
      </x:c>
      <x:c r="I6" s="129" t="str">
        <x:v>IB4</x:v>
      </x:c>
    </x:row>
    <x:row r="7" ht="42" customHeight="1">
      <x:c r="A7" s="130" t="str">
        <x:v>capability</x:v>
      </x:c>
      <x:c r="B7" s="129" t="str">
        <x:v>capability.serviceId = "SRV-GENERAL-01"</x:v>
      </x:c>
      <x:c r="C7" s="129" t="str">
        <x:v>V5</x:v>
      </x:c>
      <x:c r="D7" s="129" t="str">
        <x:v>capability.count = 0</x:v>
      </x:c>
      <x:c r="E7" s="129" t="str">
        <x:v>I5</x:v>
      </x:c>
      <x:c r="F7" s="129" t="str">
        <x:v>capability.serviceId = "SRV-GENERAL-01"</x:v>
      </x:c>
      <x:c r="G7" s="129" t="str">
        <x:v>B5</x:v>
      </x:c>
      <x:c r="H7" s="129" t="str">
        <x:v>capability.count = 0</x:v>
      </x:c>
      <x:c r="I7" s="129" t="str">
        <x:v>IB5</x:v>
      </x:c>
    </x:row>
    <x:row r="8" ht="42" customHeight="1">
      <x:c r="A8" s="130" t="str">
        <x:v>attendance token</x:v>
      </x:c>
      <x:c r="B8" s="129" t="str">
        <x:v>token = "KIOSK-VALID-001"</x:v>
      </x:c>
      <x:c r="C8" s="129" t="str">
        <x:v>V6</x:v>
      </x:c>
      <x:c r="D8" s="129" t="str">
        <x:v>token = "KIOSK-EXPIRED-001"</x:v>
      </x:c>
      <x:c r="E8" s="129" t="str">
        <x:v>I6</x:v>
      </x:c>
      <x:c r="F8" s="129" t="str">
        <x:v>token = "KIOSK-VALID-001"</x:v>
      </x:c>
      <x:c r="G8" s="129" t="str">
        <x:v>B6</x:v>
      </x:c>
      <x:c r="H8" s="129" t="str">
        <x:v>token = "KIOSK-EXPIRED-001"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staff.isActive = true
staff.systemRole = "DOCTOR"
startAt = "2026-08-13T08:00:00"
POST /api/v1/schedules</x:v>
      </x:c>
      <x:c r="C3" s="151" t="str">
        <x:v>httpStatus = 200
response.flow = "IT12"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staff.isActive = false
staff.systemRole = "DOCTOR"
POST /api/v1/schedules</x:v>
      </x:c>
      <x:c r="C4" s="151" t="str">
        <x:v>httpStatus = 404
response.code = "STAFFSCHEDULE_NOT_FOUND"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staff.isActive = true
staff.systemRole = "CUSTOMER"
POST /api/v1/schedules</x:v>
      </x:c>
      <x:c r="C5" s="151" t="str">
        <x:v>httpStatus = 400
response.code = "INVALID_STAFF_ROLE"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endAt = "2026-08-13T12:00:00"
capability.serviceId = "SRV-GENERAL-01"
POST /api/v1/schedules</x:v>
      </x:c>
      <x:c r="C6" s="151" t="str">
        <x:v>httpStatus = 200
response.shiftend = "\"2026-08-13T12:00:00\""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capability.count = 0
POST /api/v1/schedules</x:v>
      </x:c>
      <x:c r="C7" s="151" t="str">
        <x:v>httpStatus = 400
response.code = "INVALID_CAPABILITY"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token = "KIOSK-EXPIRED-001"
POST /api/v1/schedules</x:v>
      </x:c>
      <x:c r="C8" s="151" t="str">
        <x:v>httpStatus = 409
response.code = "INVALID_ATTENDANCE_TOKEN"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0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IT12 - Staff scheduling and attendance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Staff -&gt; Capability -&gt; Schedule -&gt; Attendance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IT12-001</ns0:v>
      </ns0:c>
      <ns0:c r="B12" s="39" t="str">
        <ns0:v>Create or process staff scheduling and attendance</ns0:v>
      </ns0:c>
      <ns0:c r="C12" s="39" t="str">
        <ns0:v>staff.isActive = true
staff.systemRole = "DOCTOR"
startAt = "2026-08-13T08:00:00"
POST /api/v1/schedules</ns0:v>
      </ns0:c>
      <ns0:c r="D12" s="45" t="str">
        <ns0:v>httpStatus = 200
response.flow = "IT12"
database.updatedRows = 1</ns0:v>
      </ns0:c>
      <ns0:c r="E12" s="39" t="str">
        <ns0:v>staff.isActive = true
staff.systemRole = "DOCTOR"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IT12-002</ns0:v>
      </ns0:c>
      <ns0:c r="B13" s="39" t="str">
        <ns0:v>Reject invalid staff status</ns0:v>
      </ns0:c>
      <ns0:c r="C13" s="39" t="str">
        <ns0:v>staff.isActive = false
staff.systemRole = "DOCTOR"
POST /api/v1/schedules</ns0:v>
      </ns0:c>
      <ns0:c r="D13" s="45" t="str">
        <ns0:v>httpStatus = 404
response.code = "STAFFSCHEDULE_NOT_FOUND"
database.updatedRows = 0</ns0:v>
      </ns0:c>
      <ns0:c r="E13" s="39" t="str">
        <ns0:v>staff.isActive = false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IT12-003</ns0:v>
      </ns0:c>
      <ns0:c r="B15" s="39" t="str">
        <ns0:v>Reject invalid staff role</ns0:v>
      </ns0:c>
      <ns0:c r="C15" s="39" t="str">
        <ns0:v>staff.isActive = true
staff.systemRole = "CUSTOMER"
POST /api/v1/schedules</ns0:v>
      </ns0:c>
      <ns0:c r="D15" s="45" t="str">
        <ns0:v>httpStatus = 400
response.code = "INVALID_STAFF_ROLE"
database.updatedRows = 0</ns0:v>
      </ns0:c>
      <ns0:c r="E15" s="39" t="str">
        <ns0:v>staff.isActive = true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IT12-004</ns0:v>
      </ns0:c>
      <ns0:c r="B16" s="39" t="str">
        <ns0:v>Accept boundary value for shift end</ns0:v>
      </ns0:c>
      <ns0:c r="C16" s="39" t="str">
        <ns0:v>endAt = "2026-08-13T12:00:00"
capability.serviceId = "SRV-GENERAL-01"
POST /api/v1/schedules</ns0:v>
      </ns0:c>
      <ns0:c r="D16" s="45" t="str">
        <ns0:v>httpStatus = 200
response.shiftend = "\"2026-08-13T12:00:00\""
database.updatedRows = 1</ns0:v>
      </ns0:c>
      <ns0:c r="E16" s="39" t="str">
        <ns0:v>staff.isActive = true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IT12-005</ns0:v>
      </ns0:c>
      <ns0:c r="B18" s="39" t="str">
        <ns0:v>Reject invalid capability</ns0:v>
      </ns0:c>
      <ns0:c r="C18" s="39" t="str">
        <ns0:v>capability.count = 0
POST /api/v1/schedules</ns0:v>
      </ns0:c>
      <ns0:c r="D18" s="45" t="str">
        <ns0:v>httpStatus = 400
response.code = "INVALID_CAPABILITY"
database.updatedRows = 0</ns0:v>
      </ns0:c>
      <ns0:c r="E18" s="39" t="str">
        <ns0:v>staff.isActive = true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IT12-006</ns0:v>
      </ns0:c>
      <ns0:c r="B19" s="39" t="str">
        <ns0:v>Reject invalid attendance token</ns0:v>
      </ns0:c>
      <ns0:c r="C19" s="39" t="str">
        <ns0:v>token = "KIOSK-EXPIRED-001"
POST /api/v1/schedules</ns0:v>
      </ns0:c>
      <ns0:c r="D19" s="45" t="str">
        <ns0:v>httpStatus = 409
response.code = "INVALID_ATTENDANCE_TOKEN"
database.updatedRows = 0</ns0:v>
      </ns0:c>
      <ns0:c r="E19" s="39" t="str">
        <ns0:v>token = "KIOSK-EXPIRED-001"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41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admin role</x:v>
      </x:c>
      <x:c r="B3" s="129" t="str">
        <x:v>actor.systemRole = "ADMIN"</x:v>
      </x:c>
      <x:c r="C3" s="129" t="str">
        <x:v>V1</x:v>
      </x:c>
      <x:c r="D3" s="129" t="str">
        <x:v>actor.systemRole = "CUSTOMER"</x:v>
      </x:c>
      <x:c r="E3" s="129" t="str">
        <x:v>I1</x:v>
      </x:c>
      <x:c r="F3" s="129" t="str">
        <x:v>actor.systemRole = "ADMIN"</x:v>
      </x:c>
      <x:c r="G3" s="129" t="str">
        <x:v>B1</x:v>
      </x:c>
      <x:c r="H3" s="129" t="str">
        <x:v>actor.systemRole = "CUSTOMER"</x:v>
      </x:c>
      <x:c r="I3" s="129" t="str">
        <x:v>IB1</x:v>
      </x:c>
    </x:row>
    <x:row r="4" ht="42" customHeight="1">
      <x:c r="A4" s="130" t="str">
        <x:v>serviceCode</x:v>
      </x:c>
      <x:c r="B4" s="129" t="str">
        <x:v>serviceCode = "SRV-CARDIO-01"</x:v>
      </x:c>
      <x:c r="C4" s="129" t="str">
        <x:v>V2</x:v>
      </x:c>
      <x:c r="D4" s="129" t="str">
        <x:v>serviceCode = "SRV-GENERAL-01"</x:v>
      </x:c>
      <x:c r="E4" s="129" t="str">
        <x:v>I2</x:v>
      </x:c>
      <x:c r="F4" s="129" t="str">
        <x:v>serviceCode = "SRV-CARDIO-01"</x:v>
      </x:c>
      <x:c r="G4" s="129" t="str">
        <x:v>B2</x:v>
      </x:c>
      <x:c r="H4" s="129" t="str">
        <x:v>serviceCode = "SRV-GENERAL-01"</x:v>
      </x:c>
      <x:c r="I4" s="129" t="str">
        <x:v>IB2</x:v>
      </x:c>
    </x:row>
    <x:row r="5" ht="42" customHeight="1">
      <x:c r="A5" s="130" t="str">
        <x:v>serviceName</x:v>
      </x:c>
      <x:c r="B5" s="129" t="str">
        <x:v>serviceName = "Cardiology Consultation"</x:v>
      </x:c>
      <x:c r="C5" s="129" t="str">
        <x:v>V3</x:v>
      </x:c>
      <x:c r="D5" s="129" t="str">
        <x:v>serviceName = ""</x:v>
      </x:c>
      <x:c r="E5" s="129" t="str">
        <x:v>I3</x:v>
      </x:c>
      <x:c r="F5" s="129" t="str">
        <x:v>serviceName = "Cardiology Consultation"</x:v>
      </x:c>
      <x:c r="G5" s="129" t="str">
        <x:v>B3</x:v>
      </x:c>
      <x:c r="H5" s="129" t="str">
        <x:v>serviceName = ""</x:v>
      </x:c>
      <x:c r="I5" s="129" t="str">
        <x:v>IB3</x:v>
      </x:c>
    </x:row>
    <x:row r="6" ht="42" customHeight="1">
      <x:c r="A6" s="130" t="str">
        <x:v>price</x:v>
      </x:c>
      <x:c r="B6" s="129" t="str">
        <x:v>price = 500000</x:v>
      </x:c>
      <x:c r="C6" s="129" t="str">
        <x:v>V4</x:v>
      </x:c>
      <x:c r="D6" s="129" t="str">
        <x:v>price = -1</x:v>
      </x:c>
      <x:c r="E6" s="129" t="str">
        <x:v>I4</x:v>
      </x:c>
      <x:c r="F6" s="129" t="str">
        <x:v>price = 500000</x:v>
      </x:c>
      <x:c r="G6" s="129" t="str">
        <x:v>B4</x:v>
      </x:c>
      <x:c r="H6" s="129" t="str">
        <x:v>price = -1</x:v>
      </x:c>
      <x:c r="I6" s="129" t="str">
        <x:v>IB4</x:v>
      </x:c>
    </x:row>
    <x:row r="7" ht="42" customHeight="1">
      <x:c r="A7" s="130" t="str">
        <x:v>service status</x:v>
      </x:c>
      <x:c r="B7" s="129" t="str">
        <x:v>service.status = "ACTIVE"</x:v>
      </x:c>
      <x:c r="C7" s="129" t="str">
        <x:v>V5</x:v>
      </x:c>
      <x:c r="D7" s="129" t="str">
        <x:v>service.status = "INACTIVE"</x:v>
      </x:c>
      <x:c r="E7" s="129" t="str">
        <x:v>I5</x:v>
      </x:c>
      <x:c r="F7" s="129" t="str">
        <x:v>service.status = "ACTIVE"</x:v>
      </x:c>
      <x:c r="G7" s="129" t="str">
        <x:v>B5</x:v>
      </x:c>
      <x:c r="H7" s="129" t="str">
        <x:v>service.status = "INACTIVE"</x:v>
      </x:c>
      <x:c r="I7" s="129" t="str">
        <x:v>IB5</x:v>
      </x:c>
    </x:row>
    <x:row r="8" ht="42" customHeight="1">
      <x:c r="A8" s="130" t="str">
        <x:v>dependency count</x:v>
      </x:c>
      <x:c r="B8" s="129" t="str">
        <x:v>dependency.count = 0</x:v>
      </x:c>
      <x:c r="C8" s="129" t="str">
        <x:v>V6</x:v>
      </x:c>
      <x:c r="D8" s="129" t="str">
        <x:v>dependency.count = 1</x:v>
      </x:c>
      <x:c r="E8" s="129" t="str">
        <x:v>I6</x:v>
      </x:c>
      <x:c r="F8" s="129" t="str">
        <x:v>dependency.count = 0</x:v>
      </x:c>
      <x:c r="G8" s="129" t="str">
        <x:v>B6</x:v>
      </x:c>
      <x:c r="H8" s="129" t="str">
        <x:v>dependency.count = 1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actor.systemRole = "ADMIN"
serviceCode = "SRV-CARDIO-01"
serviceName = "Cardiology Consultation"
POST /api/v1/admin/medical-services</x:v>
      </x:c>
      <x:c r="C3" s="151" t="str">
        <x:v>httpStatus = 200
response.flow = "IT13"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actor.systemRole = "CUSTOMER"
serviceCode = "SRV-CARDIO-01"
POST /api/v1/admin/medical-services</x:v>
      </x:c>
      <x:c r="C4" s="151" t="str">
        <x:v>httpStatus = 404
response.code = "ADMINCATALOG_NOT_FOUND"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actor.systemRole = "ADMIN"
serviceCode = "SRV-GENERAL-01"
POST /api/v1/admin/medical-services</x:v>
      </x:c>
      <x:c r="C5" s="151" t="str">
        <x:v>httpStatus = 400
response.code = "INVALID_SERVICECODE"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price = 500000
service.status = "ACTIVE"
POST /api/v1/admin/medical-services</x:v>
      </x:c>
      <x:c r="C6" s="151" t="str">
        <x:v>httpStatus = 200
response.price = "500000"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service.status = "INACTIVE"
POST /api/v1/admin/medical-services</x:v>
      </x:c>
      <x:c r="C7" s="151" t="str">
        <x:v>httpStatus = 400
response.code = "INVALID_SERVICE_STATUS"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dependency.count = 1
POST /api/v1/admin/medical-services</x:v>
      </x:c>
      <x:c r="C8" s="151" t="str">
        <x:v>httpStatus = 409
response.code = "INVALID_DEPENDENCY_COUNT"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3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IT13 - Administrative catalog management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Department -&gt; Service -&gt; Capability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IT13-001</ns0:v>
      </ns0:c>
      <ns0:c r="B12" s="39" t="str">
        <ns0:v>Create or process administrative catalog management</ns0:v>
      </ns0:c>
      <ns0:c r="C12" s="39" t="str">
        <ns0:v>actor.systemRole = "ADMIN"
serviceCode = "SRV-CARDIO-01"
serviceName = "Cardiology Consultation"
POST /api/v1/admin/medical-services</ns0:v>
      </ns0:c>
      <ns0:c r="D12" s="45" t="str">
        <ns0:v>httpStatus = 200
response.flow = "IT13"
database.updatedRows = 1</ns0:v>
      </ns0:c>
      <ns0:c r="E12" s="39" t="str">
        <ns0:v>actor.systemRole = "ADMIN"
serviceCode = "SRV-CARDIO-01"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IT13-002</ns0:v>
      </ns0:c>
      <ns0:c r="B13" s="39" t="str">
        <ns0:v>Reject invalid admin role</ns0:v>
      </ns0:c>
      <ns0:c r="C13" s="39" t="str">
        <ns0:v>actor.systemRole = "CUSTOMER"
serviceCode = "SRV-CARDIO-01"
POST /api/v1/admin/medical-services</ns0:v>
      </ns0:c>
      <ns0:c r="D13" s="45" t="str">
        <ns0:v>httpStatus = 404
response.code = "ADMINCATALOG_NOT_FOUND"
database.updatedRows = 0</ns0:v>
      </ns0:c>
      <ns0:c r="E13" s="39" t="str">
        <ns0:v>actor.systemRole = "CUSTOMER"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IT13-003</ns0:v>
      </ns0:c>
      <ns0:c r="B15" s="39" t="str">
        <ns0:v>Reject invalid serviceCode</ns0:v>
      </ns0:c>
      <ns0:c r="C15" s="39" t="str">
        <ns0:v>actor.systemRole = "ADMIN"
serviceCode = "SRV-GENERAL-01"
POST /api/v1/admin/medical-services</ns0:v>
      </ns0:c>
      <ns0:c r="D15" s="45" t="str">
        <ns0:v>httpStatus = 400
response.code = "INVALID_SERVICECODE"
database.updatedRows = 0</ns0:v>
      </ns0:c>
      <ns0:c r="E15" s="39" t="str">
        <ns0:v>actor.systemRole = "ADMIN"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IT13-004</ns0:v>
      </ns0:c>
      <ns0:c r="B16" s="39" t="str">
        <ns0:v>Accept boundary value for price</ns0:v>
      </ns0:c>
      <ns0:c r="C16" s="39" t="str">
        <ns0:v>price = 500000
service.status = "ACTIVE"
POST /api/v1/admin/medical-services</ns0:v>
      </ns0:c>
      <ns0:c r="D16" s="45" t="str">
        <ns0:v>httpStatus = 200
response.price = "500000"
database.updatedRows = 1</ns0:v>
      </ns0:c>
      <ns0:c r="E16" s="39" t="str">
        <ns0:v>actor.systemRole = "ADMIN"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IT13-005</ns0:v>
      </ns0:c>
      <ns0:c r="B18" s="39" t="str">
        <ns0:v>Reject invalid service status</ns0:v>
      </ns0:c>
      <ns0:c r="C18" s="39" t="str">
        <ns0:v>service.status = "INACTIVE"
POST /api/v1/admin/medical-services</ns0:v>
      </ns0:c>
      <ns0:c r="D18" s="45" t="str">
        <ns0:v>httpStatus = 400
response.code = "INVALID_SERVICE_STATUS"
database.updatedRows = 0</ns0:v>
      </ns0:c>
      <ns0:c r="E18" s="39" t="str">
        <ns0:v>actor.systemRole = "ADMIN"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IT13-006</ns0:v>
      </ns0:c>
      <ns0:c r="B19" s="39" t="str">
        <ns0:v>Reject invalid dependency count</ns0:v>
      </ns0:c>
      <ns0:c r="C19" s="39" t="str">
        <ns0:v>dependency.count = 1
POST /api/v1/admin/medical-services</ns0:v>
      </ns0:c>
      <ns0:c r="D19" s="45" t="str">
        <ns0:v>httpStatus = 409
response.code = "INVALID_DEPENDENCY_COUNT"
database.updatedRows = 0</ns0:v>
      </ns0:c>
      <ns0:c r="E19" s="39" t="str">
        <ns0:v>dependency.count = 1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44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recipientId</x:v>
      </x:c>
      <x:c r="B3" s="129" t="str">
        <x:v>recipientId = "ACC-1001"</x:v>
      </x:c>
      <x:c r="C3" s="129" t="str">
        <x:v>V1</x:v>
      </x:c>
      <x:c r="D3" s="129" t="str">
        <x:v>recipientId = "ACC-9999"</x:v>
      </x:c>
      <x:c r="E3" s="129" t="str">
        <x:v>I1</x:v>
      </x:c>
      <x:c r="F3" s="129" t="str">
        <x:v>recipientId = "ACC-1001"</x:v>
      </x:c>
      <x:c r="G3" s="129" t="str">
        <x:v>B1</x:v>
      </x:c>
      <x:c r="H3" s="129" t="str">
        <x:v>recipientId = "ACC-9999"</x:v>
      </x:c>
      <x:c r="I3" s="129" t="str">
        <x:v>IB1</x:v>
      </x:c>
    </x:row>
    <x:row r="4" ht="42" customHeight="1">
      <x:c r="A4" s="130" t="str">
        <x:v>channel</x:v>
      </x:c>
      <x:c r="B4" s="129" t="str">
        <x:v>channel = "IN_APP"</x:v>
      </x:c>
      <x:c r="C4" s="129" t="str">
        <x:v>V2</x:v>
      </x:c>
      <x:c r="D4" s="129" t="str">
        <x:v>channel = "FAX"</x:v>
      </x:c>
      <x:c r="E4" s="129" t="str">
        <x:v>I2</x:v>
      </x:c>
      <x:c r="F4" s="129" t="str">
        <x:v>channel = "IN_APP"</x:v>
      </x:c>
      <x:c r="G4" s="129" t="str">
        <x:v>B2</x:v>
      </x:c>
      <x:c r="H4" s="129" t="str">
        <x:v>channel = "FAX"</x:v>
      </x:c>
      <x:c r="I4" s="129" t="str">
        <x:v>IB2</x:v>
      </x:c>
    </x:row>
    <x:row r="5" ht="42" customHeight="1">
      <x:c r="A5" s="130" t="str">
        <x:v>notification status</x:v>
      </x:c>
      <x:c r="B5" s="129" t="str">
        <x:v>notification.status = "SENT"</x:v>
      </x:c>
      <x:c r="C5" s="129" t="str">
        <x:v>V3</x:v>
      </x:c>
      <x:c r="D5" s="129" t="str">
        <x:v>notification.status = "READ"</x:v>
      </x:c>
      <x:c r="E5" s="129" t="str">
        <x:v>I3</x:v>
      </x:c>
      <x:c r="F5" s="129" t="str">
        <x:v>notification.status = "SENT"</x:v>
      </x:c>
      <x:c r="G5" s="129" t="str">
        <x:v>B3</x:v>
      </x:c>
      <x:c r="H5" s="129" t="str">
        <x:v>notification.status = "READ"</x:v>
      </x:c>
      <x:c r="I5" s="129" t="str">
        <x:v>IB3</x:v>
      </x:c>
    </x:row>
    <x:row r="6" ht="42" customHeight="1">
      <x:c r="A6" s="130" t="str">
        <x:v>chat status</x:v>
      </x:c>
      <x:c r="B6" s="129" t="str">
        <x:v>chatSession.status = "ACTIVE"</x:v>
      </x:c>
      <x:c r="C6" s="129" t="str">
        <x:v>V4</x:v>
      </x:c>
      <x:c r="D6" s="129" t="str">
        <x:v>chatSession.status = "CLOSED"</x:v>
      </x:c>
      <x:c r="E6" s="129" t="str">
        <x:v>I4</x:v>
      </x:c>
      <x:c r="F6" s="129" t="str">
        <x:v>chatSession.status = "ACTIVE"</x:v>
      </x:c>
      <x:c r="G6" s="129" t="str">
        <x:v>B4</x:v>
      </x:c>
      <x:c r="H6" s="129" t="str">
        <x:v>chatSession.status = "CLOSED"</x:v>
      </x:c>
      <x:c r="I6" s="129" t="str">
        <x:v>IB4</x:v>
      </x:c>
    </x:row>
    <x:row r="7" ht="42" customHeight="1">
      <x:c r="A7" s="130" t="str">
        <x:v>sender role</x:v>
      </x:c>
      <x:c r="B7" s="129" t="str">
        <x:v>sender.systemRole = "CUSTOMER"</x:v>
      </x:c>
      <x:c r="C7" s="129" t="str">
        <x:v>V5</x:v>
      </x:c>
      <x:c r="D7" s="129" t="str">
        <x:v>sender.systemRole = "ADMIN"</x:v>
      </x:c>
      <x:c r="E7" s="129" t="str">
        <x:v>I5</x:v>
      </x:c>
      <x:c r="F7" s="129" t="str">
        <x:v>sender.systemRole = "CUSTOMER"</x:v>
      </x:c>
      <x:c r="G7" s="129" t="str">
        <x:v>B5</x:v>
      </x:c>
      <x:c r="H7" s="129" t="str">
        <x:v>sender.systemRole = "ADMIN"</x:v>
      </x:c>
      <x:c r="I7" s="129" t="str">
        <x:v>IB5</x:v>
      </x:c>
    </x:row>
    <x:row r="8" ht="42" customHeight="1">
      <x:c r="A8" s="130" t="str">
        <x:v>message</x:v>
      </x:c>
      <x:c r="B8" s="129" t="str">
        <x:v>message = "I need appointment support"</x:v>
      </x:c>
      <x:c r="C8" s="129" t="str">
        <x:v>V6</x:v>
      </x:c>
      <x:c r="D8" s="129" t="str">
        <x:v>message = ""</x:v>
      </x:c>
      <x:c r="E8" s="129" t="str">
        <x:v>I6</x:v>
      </x:c>
      <x:c r="F8" s="129" t="str">
        <x:v>message = "I need appointment support"</x:v>
      </x:c>
      <x:c r="G8" s="129" t="str">
        <x:v>B6</x:v>
      </x:c>
      <x:c r="H8" s="129" t="str">
        <x:v>message = ""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recipientId = "ACC-1001"
channel = "IN_APP"
notification.status = "SENT"
POST /api/v1/chat/CHAT-1001/messages/customer</x:v>
      </x:c>
      <x:c r="C3" s="151" t="str">
        <x:v>httpStatus = 200
response.flow = "IT14"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recipientId = "ACC-9999"
channel = "IN_APP"
POST /api/v1/chat/CHAT-1001/messages/customer</x:v>
      </x:c>
      <x:c r="C4" s="151" t="str">
        <x:v>httpStatus = 404
response.code = "NOTIFYCHAT_NOT_FOUND"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recipientId = "ACC-1001"
channel = "FAX"
POST /api/v1/chat/CHAT-1001/messages/customer</x:v>
      </x:c>
      <x:c r="C5" s="151" t="str">
        <x:v>httpStatus = 400
response.code = "INVALID_CHANNEL"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chatSession.status = "ACTIVE"
sender.systemRole = "CUSTOMER"
POST /api/v1/chat/CHAT-1001/messages/customer</x:v>
      </x:c>
      <x:c r="C6" s="151" t="str">
        <x:v>httpStatus = 200
response.chatstatus = "\"ACTIVE\""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sender.systemRole = "ADMIN"
POST /api/v1/chat/CHAT-1001/messages/customer</x:v>
      </x:c>
      <x:c r="C7" s="151" t="str">
        <x:v>httpStatus = 400
response.code = "INVALID_SENDER_ROLE"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message = ""
POST /api/v1/chat/CHAT-1001/messages/customer</x:v>
      </x:c>
      <x:c r="C8" s="151" t="str">
        <x:v>httpStatus = 409
response.code = "INVALID_MESSAGE"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6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IT14 - Notification and support chat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Account -&gt; Notification -&gt; ChatSession -&gt; WebSocket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IT14-001</ns0:v>
      </ns0:c>
      <ns0:c r="B12" s="39" t="str">
        <ns0:v>Create or process notification and support chat</ns0:v>
      </ns0:c>
      <ns0:c r="C12" s="39" t="str">
        <ns0:v>recipientId = "ACC-1001"
channel = "IN_APP"
notification.status = "SENT"
POST /api/v1/chat/CHAT-1001/messages/customer</ns0:v>
      </ns0:c>
      <ns0:c r="D12" s="45" t="str">
        <ns0:v>httpStatus = 200
response.flow = "IT14"
database.updatedRows = 1</ns0:v>
      </ns0:c>
      <ns0:c r="E12" s="39" t="str">
        <ns0:v>recipientId = "ACC-1001"
channel = "IN_APP"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IT14-002</ns0:v>
      </ns0:c>
      <ns0:c r="B13" s="39" t="str">
        <ns0:v>Reject invalid recipientId</ns0:v>
      </ns0:c>
      <ns0:c r="C13" s="39" t="str">
        <ns0:v>recipientId = "ACC-9999"
channel = "IN_APP"
POST /api/v1/chat/CHAT-1001/messages/customer</ns0:v>
      </ns0:c>
      <ns0:c r="D13" s="45" t="str">
        <ns0:v>httpStatus = 404
response.code = "NOTIFYCHAT_NOT_FOUND"
database.updatedRows = 0</ns0:v>
      </ns0:c>
      <ns0:c r="E13" s="39" t="str">
        <ns0:v>recipientId = "ACC-9999"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IT14-003</ns0:v>
      </ns0:c>
      <ns0:c r="B15" s="39" t="str">
        <ns0:v>Reject invalid channel</ns0:v>
      </ns0:c>
      <ns0:c r="C15" s="39" t="str">
        <ns0:v>recipientId = "ACC-1001"
channel = "FAX"
POST /api/v1/chat/CHAT-1001/messages/customer</ns0:v>
      </ns0:c>
      <ns0:c r="D15" s="45" t="str">
        <ns0:v>httpStatus = 400
response.code = "INVALID_CHANNEL"
database.updatedRows = 0</ns0:v>
      </ns0:c>
      <ns0:c r="E15" s="39" t="str">
        <ns0:v>recipientId = "ACC-1001"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IT14-004</ns0:v>
      </ns0:c>
      <ns0:c r="B16" s="39" t="str">
        <ns0:v>Accept boundary value for chat status</ns0:v>
      </ns0:c>
      <ns0:c r="C16" s="39" t="str">
        <ns0:v>chatSession.status = "ACTIVE"
sender.systemRole = "CUSTOMER"
POST /api/v1/chat/CHAT-1001/messages/customer</ns0:v>
      </ns0:c>
      <ns0:c r="D16" s="45" t="str">
        <ns0:v>httpStatus = 200
response.chatstatus = "\"ACTIVE\""
database.updatedRows = 1</ns0:v>
      </ns0:c>
      <ns0:c r="E16" s="39" t="str">
        <ns0:v>recipientId = "ACC-1001"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IT14-005</ns0:v>
      </ns0:c>
      <ns0:c r="B18" s="39" t="str">
        <ns0:v>Reject invalid sender role</ns0:v>
      </ns0:c>
      <ns0:c r="C18" s="39" t="str">
        <ns0:v>sender.systemRole = "ADMIN"
POST /api/v1/chat/CHAT-1001/messages/customer</ns0:v>
      </ns0:c>
      <ns0:c r="D18" s="45" t="str">
        <ns0:v>httpStatus = 400
response.code = "INVALID_SENDER_ROLE"
database.updatedRows = 0</ns0:v>
      </ns0:c>
      <ns0:c r="E18" s="39" t="str">
        <ns0:v>recipientId = "ACC-1001"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IT14-006</ns0:v>
      </ns0:c>
      <ns0:c r="B19" s="39" t="str">
        <ns0:v>Reject invalid message</ns0:v>
      </ns0:c>
      <ns0:c r="C19" s="39" t="str">
        <ns0:v>message = ""
POST /api/v1/chat/CHAT-1001/messages/customer</ns0:v>
      </ns0:c>
      <ns0:c r="D19" s="45" t="str">
        <ns0:v>httpStatus = 409
response.code = "INVALID_MESSAGE"
database.updatedRows = 0</ns0:v>
      </ns0:c>
      <ns0:c r="E19" s="39" t="str">
        <ns0:v>message = ""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

<file path=xl/worksheets/sheet47.xml><?xml version="1.0" encoding="utf-8"?>
<x:worksheet xmlns:x="http://schemas.openxmlformats.org/spreadsheetml/2006/main">
  <x:sheetFormatPr defaultRowHeight="15"/>
  <x:cols>
    <x:col min="1" max="1" width="12.625" style="127" customWidth="1"/>
    <x:col min="2" max="2" width="13.5" style="127" customWidth="1"/>
    <x:col min="3" max="3" width="9" style="127" customWidth="0"/>
    <x:col min="4" max="4" width="13.375" style="127" customWidth="1"/>
    <x:col min="5" max="5" width="9" style="127" customWidth="0"/>
    <x:col min="6" max="6" width="13.375" style="127" customWidth="1"/>
    <x:col min="7" max="7" width="9" style="127" customWidth="0"/>
    <x:col min="8" max="8" width="14.625" style="127" customWidth="1"/>
    <x:col min="9" max="11" width="9" style="127" customWidth="0"/>
    <x:col min="12" max="12" width="23" style="127" customWidth="1"/>
    <x:col min="13" max="13" width="25.75" style="127" customWidth="1"/>
    <x:col min="14" max="16384" width="9" style="127" customWidth="0"/>
  </x:cols>
  <x:sheetData>
    <x:row r="1">
      <x:c r="A1" s="172" t="str">
        <x:v>Test Condition Analysis</x:v>
      </x:c>
      <x:c r="B1" s="172"/>
      <x:c r="C1" s="172"/>
      <x:c r="D1" s="172"/>
      <x:c r="E1" s="172"/>
      <x:c r="F1" s="172"/>
      <x:c r="G1" s="172"/>
      <x:c r="H1" s="172"/>
      <x:c r="I1" s="172"/>
    </x:row>
    <x:row r="2" ht="25.5">
      <x:c r="A2" s="83" t="str">
        <x:v>Variable</x:v>
      </x:c>
      <x:c r="B2" s="83" t="str">
        <x:v>Valid Partition</x:v>
      </x:c>
      <x:c r="C2" s="83" t="str">
        <x:v>Tag</x:v>
      </x:c>
      <x:c r="D2" s="83" t="str">
        <x:v>Invalid Partition</x:v>
      </x:c>
      <x:c r="E2" s="83" t="str">
        <x:v>Tag</x:v>
      </x:c>
      <x:c r="F2" s="83" t="str">
        <x:v>Valid Boundary</x:v>
      </x:c>
      <x:c r="G2" s="83" t="str">
        <x:v>Tag</x:v>
      </x:c>
      <x:c r="H2" s="83" t="str">
        <x:v>Invalid Boundary</x:v>
      </x:c>
      <x:c r="I2" s="83" t="str">
        <x:v>Tag</x:v>
      </x:c>
    </x:row>
    <x:row r="3" ht="42" customHeight="1">
      <x:c r="A3" s="130" t="str">
        <x:v>visit owner</x:v>
      </x:c>
      <x:c r="B3" s="129" t="str">
        <x:v>visit.customerId = "CUS-1001"</x:v>
      </x:c>
      <x:c r="C3" s="129" t="str">
        <x:v>V1</x:v>
      </x:c>
      <x:c r="D3" s="129" t="str">
        <x:v>visit.customerId = "CUS-2002"</x:v>
      </x:c>
      <x:c r="E3" s="129" t="str">
        <x:v>I1</x:v>
      </x:c>
      <x:c r="F3" s="129" t="str">
        <x:v>visit.customerId = "CUS-1001"</x:v>
      </x:c>
      <x:c r="G3" s="129" t="str">
        <x:v>B1</x:v>
      </x:c>
      <x:c r="H3" s="129" t="str">
        <x:v>visit.customerId = "CUS-2002"</x:v>
      </x:c>
      <x:c r="I3" s="129" t="str">
        <x:v>IB1</x:v>
      </x:c>
    </x:row>
    <x:row r="4" ht="42" customHeight="1">
      <x:c r="A4" s="130" t="str">
        <x:v>current step</x:v>
      </x:c>
      <x:c r="B4" s="129" t="str">
        <x:v>currentStep.status = "DONE"</x:v>
      </x:c>
      <x:c r="C4" s="129" t="str">
        <x:v>V2</x:v>
      </x:c>
      <x:c r="D4" s="129" t="str">
        <x:v>currentStep.status = "IN_PROGRESS"</x:v>
      </x:c>
      <x:c r="E4" s="129" t="str">
        <x:v>I2</x:v>
      </x:c>
      <x:c r="F4" s="129" t="str">
        <x:v>currentStep.status = "DONE"</x:v>
      </x:c>
      <x:c r="G4" s="129" t="str">
        <x:v>B2</x:v>
      </x:c>
      <x:c r="H4" s="129" t="str">
        <x:v>currentStep.status = "IN_PROGRESS"</x:v>
      </x:c>
      <x:c r="I4" s="129" t="str">
        <x:v>IB2</x:v>
      </x:c>
    </x:row>
    <x:row r="5" ht="42" customHeight="1">
      <x:c r="A5" s="130" t="str">
        <x:v>dateFrom</x:v>
      </x:c>
      <x:c r="B5" s="129" t="str">
        <x:v>dateFrom = "2026-08-01"</x:v>
      </x:c>
      <x:c r="C5" s="129" t="str">
        <x:v>V3</x:v>
      </x:c>
      <x:c r="D5" s="129" t="str">
        <x:v>dateFrom = "2026-08-31"</x:v>
      </x:c>
      <x:c r="E5" s="129" t="str">
        <x:v>I3</x:v>
      </x:c>
      <x:c r="F5" s="129" t="str">
        <x:v>dateFrom = "2026-08-01"</x:v>
      </x:c>
      <x:c r="G5" s="129" t="str">
        <x:v>B3</x:v>
      </x:c>
      <x:c r="H5" s="129" t="str">
        <x:v>dateFrom = "2026-08-31"</x:v>
      </x:c>
      <x:c r="I5" s="129" t="str">
        <x:v>IB3</x:v>
      </x:c>
    </x:row>
    <x:row r="6" ht="42" customHeight="1">
      <x:c r="A6" s="130" t="str">
        <x:v>dateTo</x:v>
      </x:c>
      <x:c r="B6" s="129" t="str">
        <x:v>dateTo = "2026-08-31"</x:v>
      </x:c>
      <x:c r="C6" s="129" t="str">
        <x:v>V4</x:v>
      </x:c>
      <x:c r="D6" s="129" t="str">
        <x:v>dateTo = "2026-08-01"</x:v>
      </x:c>
      <x:c r="E6" s="129" t="str">
        <x:v>I4</x:v>
      </x:c>
      <x:c r="F6" s="129" t="str">
        <x:v>dateTo = "2026-08-31"</x:v>
      </x:c>
      <x:c r="G6" s="129" t="str">
        <x:v>B4</x:v>
      </x:c>
      <x:c r="H6" s="129" t="str">
        <x:v>dateTo = "2026-08-01"</x:v>
      </x:c>
      <x:c r="I6" s="129" t="str">
        <x:v>IB4</x:v>
      </x:c>
    </x:row>
    <x:row r="7" ht="42" customHeight="1">
      <x:c r="A7" s="130" t="str">
        <x:v>manager role</x:v>
      </x:c>
      <x:c r="B7" s="129" t="str">
        <x:v>actor.systemRole = "CLINIC_MANAGER"</x:v>
      </x:c>
      <x:c r="C7" s="129" t="str">
        <x:v>V5</x:v>
      </x:c>
      <x:c r="D7" s="129" t="str">
        <x:v>actor.systemRole = "CUSTOMER"</x:v>
      </x:c>
      <x:c r="E7" s="129" t="str">
        <x:v>I5</x:v>
      </x:c>
      <x:c r="F7" s="129" t="str">
        <x:v>actor.systemRole = "CLINIC_MANAGER"</x:v>
      </x:c>
      <x:c r="G7" s="129" t="str">
        <x:v>B5</x:v>
      </x:c>
      <x:c r="H7" s="129" t="str">
        <x:v>actor.systemRole = "CUSTOMER"</x:v>
      </x:c>
      <x:c r="I7" s="129" t="str">
        <x:v>IB5</x:v>
      </x:c>
    </x:row>
    <x:row r="8" ht="42" customHeight="1">
      <x:c r="A8" s="130" t="str">
        <x:v>rating</x:v>
      </x:c>
      <x:c r="B8" s="129" t="str">
        <x:v>rating = 5</x:v>
      </x:c>
      <x:c r="C8" s="129" t="str">
        <x:v>V6</x:v>
      </x:c>
      <x:c r="D8" s="129" t="str">
        <x:v>rating = 0</x:v>
      </x:c>
      <x:c r="E8" s="129" t="str">
        <x:v>I6</x:v>
      </x:c>
      <x:c r="F8" s="129" t="str">
        <x:v>rating = 5</x:v>
      </x:c>
      <x:c r="G8" s="129" t="str">
        <x:v>B6</x:v>
      </x:c>
      <x:c r="H8" s="129" t="str">
        <x:v>rating = 0</x:v>
      </x:c>
      <x:c r="I8" s="129" t="str">
        <x:v>IB6</x:v>
      </x:c>
      <x:c r="K8" s="179" t="s">
        <x:v>36</x:v>
      </x:c>
      <x:c r="L8" s="179" t="s">
        <x:v>37</x:v>
      </x:c>
    </x:row>
    <x:row r="9" ht="42" customHeight="1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7">
      <x:c r="A27" s="140" t="str">
        <x:v>Notes:</x:v>
      </x:c>
      <x:c r="B27" s="141" t="str">
        <x:v>Every partition uses an explicit variable value. Tags are referenced by Test Design and Feature sheets.</x:v>
      </x:c>
      <x:c r="C27"/>
      <x:c r="D27"/>
      <x:c r="E27"/>
      <x:c r="F27"/>
      <x:c r="G27"/>
      <x:c r="H27"/>
      <x:c r="I27"/>
    </x:row>
    <x:row r="28"/>
    <x:row r="29"/>
    <x:row r="30"/>
    <x:row r="31"/>
  </x:sheetData>
  <x:mergeCells>
    <x:mergeCell ref="A1:I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0.25" style="127" customWidth="1"/>
    <x:col min="2" max="2" width="41.5" style="127" customWidth="1"/>
    <x:col min="3" max="3" width="39.125" style="127" customWidth="1"/>
    <x:col min="4" max="4" width="23.25" style="127" customWidth="1"/>
    <x:col min="5" max="16384" width="9" style="127" customWidth="0"/>
  </x:cols>
  <x:sheetData>
    <x:row r="1">
      <x:c r="A1" s="172" t="str">
        <x:v>Test Case Design</x:v>
      </x:c>
      <x:c r="B1" s="172"/>
      <x:c r="C1" s="172"/>
      <x:c r="D1" s="172"/>
    </x:row>
    <x:row r="2" ht="25.5">
      <x:c r="A2" s="83" t="str">
        <x:v>Test Case</x:v>
      </x:c>
      <x:c r="B2" s="83" t="str">
        <x:v>Description</x:v>
      </x:c>
      <x:c r="C2" s="83" t="str">
        <x:v>Expected Outcome</x:v>
      </x:c>
      <x:c r="D2" s="83" t="str">
        <x:v>New Tag Covered</x:v>
      </x:c>
    </x:row>
    <x:row r="3" ht="82" customHeight="1">
      <x:c r="A3" s="152" t="n">
        <x:v>1</x:v>
      </x:c>
      <x:c r="B3" s="151" t="str">
        <x:v>visit.customerId = "CUS-1001"
currentStep.status = "DONE"
dateFrom = "2026-08-01"
GET /api/v1/patient-journeys/VIS-1001</x:v>
      </x:c>
      <x:c r="C3" s="151" t="str">
        <x:v>httpStatus = 200
response.flow = "IT15"
database.updatedRows = 1</x:v>
      </x:c>
      <x:c r="D3" s="151" t="str">
        <x:v>V1, V2, V3</x:v>
      </x:c>
    </x:row>
    <x:row r="4" ht="82" customHeight="1">
      <x:c r="A4" s="152" t="n">
        <x:v>2</x:v>
      </x:c>
      <x:c r="B4" s="151" t="str">
        <x:v>visit.customerId = "CUS-2002"
currentStep.status = "DONE"
GET /api/v1/patient-journeys/VIS-1001</x:v>
      </x:c>
      <x:c r="C4" s="151" t="str">
        <x:v>httpStatus = 404
response.code = "JOURNEYREPORT_NOT_FOUND"
database.updatedRows = 0</x:v>
      </x:c>
      <x:c r="D4" s="151" t="str">
        <x:v>I1</x:v>
      </x:c>
    </x:row>
    <x:row r="5" ht="82" customHeight="1">
      <x:c r="A5" s="152" t="n">
        <x:v>3</x:v>
      </x:c>
      <x:c r="B5" s="151" t="str">
        <x:v>visit.customerId = "CUS-1001"
currentStep.status = "IN_PROGRESS"
GET /api/v1/patient-journeys/VIS-1001</x:v>
      </x:c>
      <x:c r="C5" s="151" t="str">
        <x:v>httpStatus = 400
response.code = "INVALID_CURRENT_STEP"
database.updatedRows = 0</x:v>
      </x:c>
      <x:c r="D5" s="151" t="str">
        <x:v>I2</x:v>
      </x:c>
    </x:row>
    <x:row r="6" ht="82" customHeight="1">
      <x:c r="A6" s="152" t="n">
        <x:v>4</x:v>
      </x:c>
      <x:c r="B6" s="151" t="str">
        <x:v>dateTo = "2026-08-31"
actor.systemRole = "CLINIC_MANAGER"
GET /api/v1/patient-journeys/VIS-1001</x:v>
      </x:c>
      <x:c r="C6" s="151" t="str">
        <x:v>httpStatus = 200
response.dateTo = "\"2026-08-31\""
database.updatedRows = 1</x:v>
      </x:c>
      <x:c r="D6" s="151" t="str">
        <x:v>B4, V5</x:v>
      </x:c>
    </x:row>
    <x:row r="7" ht="82" customHeight="1">
      <x:c r="A7" s="152" t="n">
        <x:v>5</x:v>
      </x:c>
      <x:c r="B7" s="151" t="str">
        <x:v>actor.systemRole = "CUSTOMER"
GET /api/v1/patient-journeys/VIS-1001</x:v>
      </x:c>
      <x:c r="C7" s="151" t="str">
        <x:v>httpStatus = 400
response.code = "INVALID_MANAGER_ROLE"
database.updatedRows = 0</x:v>
      </x:c>
      <x:c r="D7" s="151" t="str">
        <x:v>I5</x:v>
      </x:c>
    </x:row>
    <x:row r="8" ht="82" customHeight="1">
      <x:c r="A8" s="152" t="n">
        <x:v>6</x:v>
      </x:c>
      <x:c r="B8" s="151" t="str">
        <x:v>rating = 0
GET /api/v1/patient-journeys/VIS-1001</x:v>
      </x:c>
      <x:c r="C8" s="151" t="str">
        <x:v>httpStatus = 409
response.code = "INVALID_RATING"
database.updatedRows = 0</x:v>
      </x:c>
      <x:c r="D8" s="151" t="str">
        <x:v>I6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</x:sheetData>
  <x:mergeCells>
    <x:mergeCell ref="A1:D1"/>
  </x:mergeCells>
  <x:pageMargins left="0.7" right="0.7" top="0.75" bottom="0.75" header="0.3" footer="0.3"/>
</x:worksheet>
</file>

<file path=xl/worksheets/sheet49.xml><?xml version="1.0" encoding="utf-8"?>
<ns0:worksheet xmlns:ns0="http://schemas.openxmlformats.org/spreadsheetml/2006/main">
  <ns0:sheetFormatPr defaultColWidth="9" defaultRowHeight="12.75"/>
  <ns0:cols>
    <ns0:col min="1" max="1" width="17" style="1" customWidth="1"/>
    <ns0:col min="2" max="2" width="34.5" style="1" customWidth="1"/>
    <ns0:col min="3" max="3" width="33.375" style="1" customWidth="1"/>
    <ns0:col min="4" max="4" width="34.625" style="1" customWidth="1"/>
    <ns0:col min="5" max="5" width="28.375" style="1" customWidth="1"/>
    <ns0:col min="6" max="6" width="9.375" style="1" customWidth="1"/>
    <ns0:col min="7" max="7" width="10.625" style="1" customWidth="1"/>
    <ns0:col min="8" max="8" width="7" style="1" customWidth="1"/>
    <ns0:col min="9" max="9" width="9.375" style="1" customWidth="1"/>
    <ns0:col min="10" max="10" width="10.625" style="1" customWidth="1"/>
    <ns0:col min="11" max="11" width="7" style="1" customWidth="1"/>
    <ns0:col min="12" max="12" width="9.375" style="1" customWidth="1"/>
    <ns0:col min="13" max="13" width="10.625" style="1" customWidth="1"/>
    <ns0:col min="14" max="14" width="7" style="1" customWidth="1"/>
    <ns0:col min="15" max="15" width="28.625" style="1" customWidth="1"/>
    <ns0:col min="16" max="16" width="10.125" style="1" customWidth="1"/>
    <ns0:col min="17" max="17" width="8.125" style="28" customWidth="1"/>
    <ns0:col min="18" max="18" width="7.625" style="1" hidden="1" customWidth="1"/>
    <ns0:col min="19" max="16384" width="9" style="1" customWidth="0"/>
  </ns0:cols>
  <ns0:sheetData>
    <ns0:row r="1" ht="13.5"/>
    <ns0:row r="2" s="30" customFormat="1" ht="15" customHeight="1">
      <ns0:c r="A2" s="92" t="s">
        <ns0:v>29</ns0:v>
      </ns0:c>
      <ns0:c r="B2" s="168" t="str">
        <ns0:v>IT15 - Patient journey, reporting, and feedback</ns0:v>
      </ns0:c>
      <ns0:c r="C2" s="168"/>
      <ns0:c r="D2" s="168"/>
      <ns0:c r="E2" s="169"/>
      <ns0:c r="F2" s="82"/>
      <ns0:c r="G2" s="76"/>
      <ns0:c r="H2" s="9"/>
      <ns0:c r="I2" s="82"/>
      <ns0:c r="J2" s="76"/>
      <ns0:c r="K2" s="9"/>
      <ns0:c r="L2" s="82"/>
      <ns0:c r="M2" s="76"/>
      <ns0:c r="N2" s="9"/>
      <ns0:c r="O2" s="9"/>
      <ns0:c r="P2" s="9"/>
      <ns0:c r="Q2" s="29"/>
      <ns0:c r="R2" s="30" t="s">
        <ns0:v>24</ns0:v>
      </ns0:c>
    </ns0:row>
    <ns0:row r="3" s="30" customFormat="1">
      <ns0:c r="A3" s="93" t="s">
        <ns0:v>30</ns0:v>
      </ns0:c>
      <ns0:c r="B3" s="170" t="str">
        <ns0:v>Visit -&gt; Queue -&gt; Record -&gt; Invoice -&gt; Report</ns0:v>
      </ns0:c>
      <ns0:c r="C3" s="170"/>
      <ns0:c r="D3" s="170"/>
      <ns0:c r="E3" s="171"/>
      <ns0:c r="F3" s="82"/>
      <ns0:c r="G3" s="76"/>
      <ns0:c r="H3" s="9"/>
      <ns0:c r="I3" s="82"/>
      <ns0:c r="J3" s="76"/>
      <ns0:c r="K3" s="9"/>
      <ns0:c r="L3" s="82"/>
      <ns0:c r="M3" s="76"/>
      <ns0:c r="N3" s="9"/>
      <ns0:c r="O3" s="9"/>
      <ns0:c r="P3" s="9"/>
      <ns0:c r="Q3" s="29"/>
      <ns0:c r="R3" s="30" t="s">
        <ns0:v>25</ns0:v>
      </ns0:c>
    </ns0:row>
    <ns0:row r="4" s="30" customFormat="1" ht="18" customHeight="1">
      <ns0:c r="A4" s="93" t="s">
        <ns0:v>31</ns0:v>
      </ns0:c>
      <ns0:c r="B4" s="170" t="n">
        <ns0:v>6</ns0:v>
      </ns0:c>
      <ns0:c r="C4" s="170"/>
      <ns0:c r="D4" s="170"/>
      <ns0:c r="E4" s="171"/>
      <ns0:c r="F4" s="82"/>
      <ns0:c r="G4" s="76"/>
      <ns0:c r="H4" s="9"/>
      <ns0:c r="I4" s="82"/>
      <ns0:c r="J4" s="76"/>
      <ns0:c r="K4" s="9"/>
      <ns0:c r="L4" s="82"/>
      <ns0:c r="M4" s="76"/>
      <ns0:c r="N4" s="9"/>
      <ns0:c r="O4" s="9"/>
      <ns0:c r="P4" s="9"/>
      <ns0:c r="Q4" s="29"/>
      <ns0:c r="R4" s="30" t="s">
        <ns0:v>26</ns0:v>
      </ns0:c>
    </ns0:row>
    <ns0:row r="5" s="30" customFormat="1" ht="19.5" customHeight="1">
      <ns0:c r="A5" s="86" t="s">
        <ns0:v>32</ns0:v>
      </ns0:c>
      <ns0:c r="B5" s="84" t="s">
        <ns0:v>24</ns0:v>
      </ns0:c>
      <ns0:c r="C5" s="84" t="s">
        <ns0:v>25</ns0:v>
      </ns0:c>
      <ns0:c r="D5" s="84" t="s">
        <ns0:v>26</ns0:v>
      </ns0:c>
      <ns0:c r="E5" s="87" t="s">
        <ns0:v>27</ns0:v>
      </ns0:c>
      <ns0:c r="F5" s="77"/>
      <ns0:c r="G5" s="77"/>
      <ns0:c r="H5" s="31"/>
      <ns0:c r="I5" s="77"/>
      <ns0:c r="J5" s="77"/>
      <ns0:c r="K5" s="31"/>
      <ns0:c r="L5" s="77"/>
      <ns0:c r="M5" s="77"/>
      <ns0:c r="N5" s="31"/>
      <ns0:c r="O5" s="31"/>
      <ns0:c r="P5" s="31"/>
      <ns0:c r="Q5" s="32"/>
      <ns0:c r="R5" s="30" t="s">
        <ns0:v>27</ns0:v>
      </ns0:c>
    </ns0:row>
    <ns0:row r="6" s="30" customFormat="1" ht="15" customHeight="1">
      <ns0:c r="A6" s="86" t="s">
        <ns0:v>33</ns0:v>
      </ns0:c>
      <ns0:c r="B6" s="85" t="n">
        <ns0:f>COUNTIF($F$12:$F$1000,B$5)</ns0:f>
        <ns0:v>0</ns0:v>
      </ns0:c>
      <ns0:c r="C6" s="85" t="n">
        <ns0:f>COUNTIF($F$12:$F$1000,C$5)</ns0:f>
        <ns0:v>0</ns0:v>
      </ns0:c>
      <ns0:c r="D6" s="85" t="n">
        <ns0:f>COUNTIF($F$12:$F$1000,D$5)</ns0:f>
        <ns0:v>6</ns0:v>
      </ns0:c>
      <ns0:c r="E6" s="85" t="n">
        <ns0:f>COUNTIF($F$12:$F$1000,E$5)</ns0:f>
        <ns0:v>0</ns0:v>
      </ns0:c>
      <ns0:c r="F6" s="78"/>
      <ns0:c r="G6" s="78"/>
      <ns0:c r="H6" s="31"/>
      <ns0:c r="I6" s="78"/>
      <ns0:c r="J6" s="78"/>
      <ns0:c r="K6" s="31"/>
      <ns0:c r="L6" s="78"/>
      <ns0:c r="M6" s="78"/>
      <ns0:c r="N6" s="31"/>
      <ns0:c r="O6" s="31"/>
      <ns0:c r="P6" s="31"/>
      <ns0:c r="Q6" s="32"/>
    </ns0:row>
    <ns0:row r="7" s="30" customFormat="1" ht="15" customHeight="1">
      <ns0:c r="A7" s="86" t="s">
        <ns0:v>34</ns0:v>
      </ns0:c>
      <ns0:c r="B7" s="85" t="n">
        <ns0:f>COUNTIF($I$12:$I$1000,B$5)</ns0:f>
        <ns0:v>0</ns0:v>
      </ns0:c>
      <ns0:c r="C7" s="85" t="n">
        <ns0:f>COUNTIF($I$12:$I$1000,C$5)</ns0:f>
        <ns0:v>0</ns0:v>
      </ns0:c>
      <ns0:c r="D7" s="85" t="n">
        <ns0:f>COUNTIF($I$12:$I$1000,D$5)</ns0:f>
        <ns0:v>6</ns0:v>
      </ns0:c>
      <ns0:c r="E7" s="85" t="n">
        <ns0:f>COUNTIF($I$12:$I$1000,E$5)</ns0:f>
        <ns0:v>0</ns0:v>
      </ns0:c>
      <ns0:c r="F7" s="78"/>
      <ns0:c r="G7" s="78"/>
      <ns0:c r="H7" s="31"/>
      <ns0:c r="I7" s="78"/>
      <ns0:c r="J7" s="78"/>
      <ns0:c r="K7" s="31"/>
      <ns0:c r="L7" s="78"/>
      <ns0:c r="M7" s="78"/>
      <ns0:c r="N7" s="31"/>
      <ns0:c r="O7" s="31"/>
      <ns0:c r="P7" s="31"/>
      <ns0:c r="Q7" s="32"/>
    </ns0:row>
    <ns0:row r="8" s="30" customFormat="1" ht="15" customHeight="1">
      <ns0:c r="A8" s="88" t="s">
        <ns0:v>35</ns0:v>
      </ns0:c>
      <ns0:c r="B8" s="85" t="n">
        <ns0:f>COUNTIF($L$12:$L$1000,B$5)</ns0:f>
        <ns0:v>0</ns0:v>
      </ns0:c>
      <ns0:c r="C8" s="85" t="n">
        <ns0:f>COUNTIF($L$12:$L$1000,C$5)</ns0:f>
        <ns0:v>0</ns0:v>
      </ns0:c>
      <ns0:c r="D8" s="85" t="n">
        <ns0:f>COUNTIF($L$12:$L$1000,D$5)</ns0:f>
        <ns0:v>6</ns0:v>
      </ns0:c>
      <ns0:c r="E8" s="85" t="n">
        <ns0:f>COUNTIF($L$12:$L$1000,E$5)</ns0:f>
        <ns0:v>0</ns0:v>
      </ns0:c>
      <ns0:c r="F8" s="78"/>
      <ns0:c r="G8" s="78"/>
      <ns0:c r="H8" s="31"/>
      <ns0:c r="I8" s="78"/>
      <ns0:c r="J8" s="78"/>
      <ns0:c r="K8" s="31"/>
      <ns0:c r="L8" s="78"/>
      <ns0:c r="M8" s="78"/>
      <ns0:c r="N8" s="31"/>
      <ns0:c r="O8" s="31"/>
      <ns0:c r="P8" s="31"/>
      <ns0:c r="Q8" s="32"/>
    </ns0:row>
    <ns0:row r="9" s="30" customFormat="1" ht="15" customHeight="1">
      <ns0:c r="A9" s="31"/>
      <ns0:c r="B9" s="31"/>
      <ns0:c r="C9" s="31"/>
      <ns0:c r="D9" s="31"/>
      <ns0:c r="E9" s="31"/>
      <ns0:c r="F9" s="33"/>
      <ns0:c r="G9" s="31"/>
      <ns0:c r="H9" s="31"/>
      <ns0:c r="I9" s="33"/>
      <ns0:c r="J9" s="31"/>
      <ns0:c r="K9" s="31"/>
      <ns0:c r="L9" s="33"/>
      <ns0:c r="M9" s="31"/>
      <ns0:c r="N9" s="31"/>
      <ns0:c r="O9" s="31"/>
      <ns0:c r="P9" s="31"/>
      <ns0:c r="Q9" s="32"/>
    </ns0:row>
    <ns0:row r="10" s="30" customFormat="1" ht="25.5" customHeight="1">
      <ns0:c r="A10" s="83" t="str">
        <ns0:v>Test Case ID</ns0:v>
      </ns0:c>
      <ns0:c r="B10" s="83" t="str">
        <ns0:v>Test Case Description</ns0:v>
      </ns0:c>
      <ns0:c r="C10" s="83" t="str">
        <ns0:v>Test Case Procedure</ns0:v>
      </ns0:c>
      <ns0:c r="D10" s="83" t="str">
        <ns0:v>Expected Results</ns0:v>
      </ns0:c>
      <ns0:c r="E10" s="83" t="str">
        <ns0:v>Pre-conditions</ns0:v>
      </ns0:c>
      <ns0:c r="F10" s="83" t="str">
        <ns0:v>Round 1</ns0:v>
      </ns0:c>
      <ns0:c r="G10" s="83" t="str">
        <ns0:v>Test date</ns0:v>
      </ns0:c>
      <ns0:c r="H10" s="83" t="str">
        <ns0:v>Tester</ns0:v>
      </ns0:c>
      <ns0:c r="I10" s="83" t="str">
        <ns0:v>Round 2</ns0:v>
      </ns0:c>
      <ns0:c r="J10" s="83" t="str">
        <ns0:v>Test date</ns0:v>
      </ns0:c>
      <ns0:c r="K10" s="83" t="str">
        <ns0:v>Tester</ns0:v>
      </ns0:c>
      <ns0:c r="L10" s="83" t="str">
        <ns0:v>Round 3</ns0:v>
      </ns0:c>
      <ns0:c r="M10" s="83" t="str">
        <ns0:v>Test date</ns0:v>
      </ns0:c>
      <ns0:c r="N10" s="83" t="str">
        <ns0:v>Tester</ns0:v>
      </ns0:c>
      <ns0:c r="O10" s="83" t="str">
        <ns0:v>Note</ns0:v>
      </ns0:c>
      <ns0:c r="Q10" s="34"/>
    </ns0:row>
    <ns0:row r="11" s="30" customFormat="1" ht="18" customHeight="1">
      <ns0:c r="A11" s="79" t="str">
        <ns0:v>Valid concrete input values</ns0:v>
      </ns0:c>
      <ns0:c r="B11"/>
      <ns0:c r="C11"/>
      <ns0:c r="D11"/>
      <ns0:c r="E11"/>
      <ns0:c r="F11"/>
      <ns0:c r="G11"/>
      <ns0:c r="H11"/>
      <ns0:c r="I11"/>
      <ns0:c r="J11"/>
      <ns0:c r="K11"/>
      <ns0:c r="L11"/>
      <ns0:c r="M11"/>
      <ns0:c r="N11"/>
      <ns0:c r="O11"/>
      <ns0:c r="Q11" s="38"/>
    </ns0:row>
    <ns0:row r="12" s="44" customFormat="1" ht="105" customHeight="1">
      <ns0:c r="A12" s="39" t="str">
        <ns0:v>IT15-001</ns0:v>
      </ns0:c>
      <ns0:c r="B12" s="39" t="str">
        <ns0:v>Create or process patient journey, reporting, and feedback</ns0:v>
      </ns0:c>
      <ns0:c r="C12" s="39" t="str">
        <ns0:v>visit.customerId = "CUS-1001"
currentStep.status = "DONE"
dateFrom = "2026-08-01"
GET /api/v1/patient-journeys/VIS-1001</ns0:v>
      </ns0:c>
      <ns0:c r="D12" s="45" t="str">
        <ns0:v>httpStatus = 200
response.flow = "IT15"
database.updatedRows = 1</ns0:v>
      </ns0:c>
      <ns0:c r="E12" s="39" t="str">
        <ns0:v>visit.customerId = "CUS-1001"
currentStep.status = "DONE"</ns0:v>
      </ns0:c>
      <ns0:c r="F12" s="39" t="str">
        <ns0:v>Pending</ns0:v>
      </ns0:c>
      <ns0:c r="G12"/>
      <ns0:c r="H12"/>
      <ns0:c r="I12" s="39" t="str">
        <ns0:v>Pending</ns0:v>
      </ns0:c>
      <ns0:c r="J12"/>
      <ns0:c r="K12"/>
      <ns0:c r="L12" s="39" t="str">
        <ns0:v>Pending</ns0:v>
      </ns0:c>
      <ns0:c r="M12"/>
      <ns0:c r="N12"/>
      <ns0:c r="O12" s="39" t="str">
        <ns0:v>V1, V2, V3</ns0:v>
      </ns0:c>
      <ns0:c r="Q12" s="43"/>
    </ns0:row>
    <ns0:row r="13" ht="105" customHeight="1">
      <ns0:c r="A13" s="39" t="str">
        <ns0:v>IT15-002</ns0:v>
      </ns0:c>
      <ns0:c r="B13" s="39" t="str">
        <ns0:v>Reject invalid visit owner</ns0:v>
      </ns0:c>
      <ns0:c r="C13" s="39" t="str">
        <ns0:v>visit.customerId = "CUS-2002"
currentStep.status = "DONE"
GET /api/v1/patient-journeys/VIS-1001</ns0:v>
      </ns0:c>
      <ns0:c r="D13" s="45" t="str">
        <ns0:v>httpStatus = 404
response.code = "JOURNEYREPORT_NOT_FOUND"
database.updatedRows = 0</ns0:v>
      </ns0:c>
      <ns0:c r="E13" s="39" t="str">
        <ns0:v>visit.customerId = "CUS-2002"</ns0:v>
      </ns0:c>
      <ns0:c r="F13" s="39" t="str">
        <ns0:v>Pending</ns0:v>
      </ns0:c>
      <ns0:c r="G13"/>
      <ns0:c r="H13"/>
      <ns0:c r="I13" s="39" t="str">
        <ns0:v>Pending</ns0:v>
      </ns0:c>
      <ns0:c r="J13"/>
      <ns0:c r="K13"/>
      <ns0:c r="L13" s="39" t="str">
        <ns0:v>Pending</ns0:v>
      </ns0:c>
      <ns0:c r="M13"/>
      <ns0:c r="N13"/>
      <ns0:c r="O13" s="39" t="str">
        <ns0:v>I1</ns0:v>
      </ns0:c>
      <ns0:c r="Q13" s="43"/>
    </ns0:row>
    <ns0:row r="14" ht="18" customHeight="1">
      <ns0:c r="A14" s="79" t="str">
        <ns0:v>Invalid concrete input values</ns0:v>
      </ns0:c>
      <ns0:c r="B14"/>
      <ns0:c r="C14"/>
      <ns0:c r="D14"/>
      <ns0:c r="E14"/>
      <ns0:c r="F14"/>
      <ns0:c r="G14"/>
      <ns0:c r="H14"/>
      <ns0:c r="I14"/>
      <ns0:c r="J14"/>
      <ns0:c r="K14"/>
      <ns0:c r="L14"/>
      <ns0:c r="M14"/>
      <ns0:c r="N14"/>
      <ns0:c r="O14"/>
      <ns0:c r="Q14" s="43"/>
    </ns0:row>
    <ns0:row r="15" s="30" customFormat="1" ht="105" customHeight="1">
      <ns0:c r="A15" s="39" t="str">
        <ns0:v>IT15-003</ns0:v>
      </ns0:c>
      <ns0:c r="B15" s="39" t="str">
        <ns0:v>Reject invalid current step</ns0:v>
      </ns0:c>
      <ns0:c r="C15" s="39" t="str">
        <ns0:v>visit.customerId = "CUS-1001"
currentStep.status = "IN_PROGRESS"
GET /api/v1/patient-journeys/VIS-1001</ns0:v>
      </ns0:c>
      <ns0:c r="D15" s="45" t="str">
        <ns0:v>httpStatus = 400
response.code = "INVALID_CURRENT_STEP"
database.updatedRows = 0</ns0:v>
      </ns0:c>
      <ns0:c r="E15" s="39" t="str">
        <ns0:v>visit.customerId = "CUS-1001"</ns0:v>
      </ns0:c>
      <ns0:c r="F15" s="39" t="str">
        <ns0:v>Pending</ns0:v>
      </ns0:c>
      <ns0:c r="G15"/>
      <ns0:c r="H15"/>
      <ns0:c r="I15" s="39" t="str">
        <ns0:v>Pending</ns0:v>
      </ns0:c>
      <ns0:c r="J15"/>
      <ns0:c r="K15"/>
      <ns0:c r="L15" s="39" t="str">
        <ns0:v>Pending</ns0:v>
      </ns0:c>
      <ns0:c r="M15"/>
      <ns0:c r="N15"/>
      <ns0:c r="O15" s="39" t="str">
        <ns0:v>I2</ns0:v>
      </ns0:c>
      <ns0:c r="Q15" s="38"/>
    </ns0:row>
    <ns0:row r="16" ht="105" customHeight="1">
      <ns0:c r="A16" s="39" t="str">
        <ns0:v>IT15-004</ns0:v>
      </ns0:c>
      <ns0:c r="B16" s="39" t="str">
        <ns0:v>Accept boundary value for dateTo</ns0:v>
      </ns0:c>
      <ns0:c r="C16" s="39" t="str">
        <ns0:v>dateTo = "2026-08-31"
actor.systemRole = "CLINIC_MANAGER"
GET /api/v1/patient-journeys/VIS-1001</ns0:v>
      </ns0:c>
      <ns0:c r="D16" s="45" t="str">
        <ns0:v>httpStatus = 200
response.dateTo = "\"2026-08-31\""
database.updatedRows = 1</ns0:v>
      </ns0:c>
      <ns0:c r="E16" s="39" t="str">
        <ns0:v>visit.customerId = "CUS-1001"</ns0:v>
      </ns0:c>
      <ns0:c r="F16" s="39" t="str">
        <ns0:v>Pending</ns0:v>
      </ns0:c>
      <ns0:c r="G16"/>
      <ns0:c r="H16"/>
      <ns0:c r="I16" s="39" t="str">
        <ns0:v>Pending</ns0:v>
      </ns0:c>
      <ns0:c r="J16"/>
      <ns0:c r="K16"/>
      <ns0:c r="L16" s="39" t="str">
        <ns0:v>Pending</ns0:v>
      </ns0:c>
      <ns0:c r="M16"/>
      <ns0:c r="N16"/>
      <ns0:c r="O16" s="39" t="str">
        <ns0:v>B4, V5</ns0:v>
      </ns0:c>
      <ns0:c r="Q16" s="43"/>
    </ns0:row>
    <ns0:row r="17" ht="18">
      <ns0:c r="A17" s="79" t="str">
        <ns0:v>Boundary and state values</ns0:v>
      </ns0:c>
      <ns0:c r="B17"/>
      <ns0:c r="C17"/>
      <ns0:c r="D17"/>
      <ns0:c r="E17"/>
      <ns0:c r="F17"/>
      <ns0:c r="G17"/>
      <ns0:c r="H17"/>
      <ns0:c r="I17"/>
      <ns0:c r="J17"/>
      <ns0:c r="K17"/>
      <ns0:c r="L17"/>
      <ns0:c r="M17"/>
      <ns0:c r="N17"/>
      <ns0:c r="O17"/>
    </ns0:row>
    <ns0:row r="18" ht="105" customHeight="1">
      <ns0:c r="A18" s="39" t="str">
        <ns0:v>IT15-005</ns0:v>
      </ns0:c>
      <ns0:c r="B18" s="39" t="str">
        <ns0:v>Reject invalid manager role</ns0:v>
      </ns0:c>
      <ns0:c r="C18" s="39" t="str">
        <ns0:v>actor.systemRole = "CUSTOMER"
GET /api/v1/patient-journeys/VIS-1001</ns0:v>
      </ns0:c>
      <ns0:c r="D18" s="45" t="str">
        <ns0:v>httpStatus = 400
response.code = "INVALID_MANAGER_ROLE"
database.updatedRows = 0</ns0:v>
      </ns0:c>
      <ns0:c r="E18" s="39" t="str">
        <ns0:v>visit.customerId = "CUS-1001"</ns0:v>
      </ns0:c>
      <ns0:c r="F18" s="39" t="str">
        <ns0:v>Pending</ns0:v>
      </ns0:c>
      <ns0:c r="G18"/>
      <ns0:c r="H18"/>
      <ns0:c r="I18" s="39" t="str">
        <ns0:v>Pending</ns0:v>
      </ns0:c>
      <ns0:c r="J18"/>
      <ns0:c r="K18"/>
      <ns0:c r="L18" s="39" t="str">
        <ns0:v>Pending</ns0:v>
      </ns0:c>
      <ns0:c r="M18"/>
      <ns0:c r="N18"/>
      <ns0:c r="O18" s="39" t="str">
        <ns0:v>I5</ns0:v>
      </ns0:c>
    </ns0:row>
    <ns0:row r="19" s="44" customFormat="1" ht="105" customHeight="1">
      <ns0:c r="A19" s="39" t="str">
        <ns0:v>IT15-006</ns0:v>
      </ns0:c>
      <ns0:c r="B19" s="39" t="str">
        <ns0:v>Reject invalid rating</ns0:v>
      </ns0:c>
      <ns0:c r="C19" s="39" t="str">
        <ns0:v>rating = 0
GET /api/v1/patient-journeys/VIS-1001</ns0:v>
      </ns0:c>
      <ns0:c r="D19" s="45" t="str">
        <ns0:v>httpStatus = 409
response.code = "INVALID_RATING"
database.updatedRows = 0</ns0:v>
      </ns0:c>
      <ns0:c r="E19" s="39" t="str">
        <ns0:v>rating = 0</ns0:v>
      </ns0:c>
      <ns0:c r="F19" s="39" t="str">
        <ns0:v>Pending</ns0:v>
      </ns0:c>
      <ns0:c r="G19"/>
      <ns0:c r="H19"/>
      <ns0:c r="I19" s="39" t="str">
        <ns0:v>Pending</ns0:v>
      </ns0:c>
      <ns0:c r="J19"/>
      <ns0:c r="K19"/>
      <ns0:c r="L19" s="39" t="str">
        <ns0:v>Pending</ns0:v>
      </ns0:c>
      <ns0:c r="M19"/>
      <ns0:c r="N19"/>
      <ns0:c r="O19" s="39" t="str">
        <ns0:v>I6</ns0:v>
      </ns0:c>
      <ns0:c r="Q19" s="43"/>
    </ns0:row>
  </ns0:sheetData>
  <ns0:mergeCells>
    <ns0:mergeCell ref="B2:E2"/>
    <ns0:mergeCell ref="B3:E3"/>
    <ns0:mergeCell ref="B4:E4"/>
  </ns0:mergeCells>
  <ns0:dataValidations count="2">
    <ns0:dataValidation allowBlank="1" showErrorMessage="1" sqref="F12:F19 I12:I19 L12:L19"/>
    <ns0:dataValidation type="list" allowBlank="1" showErrorMessage="1" sqref="F12:F19 I12:I19 L12:L19">
      <ns0:formula1>$R$2:$R$5</ns0:formula1>
      <ns0:formula2>0</ns0:formula2>
    </ns0:dataValidation>
  </ns0:dataValidations>
  <ns0:pageMargins left="0.7" right="0.7" top="0.75" bottom="0.75" header="0.3" footer="0.3"/>
</ns0:worksheet>
</file>