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lap\doAnSummer2026\work\"/>
    </mc:Choice>
  </mc:AlternateContent>
  <xr:revisionPtr revIDLastSave="0" documentId="8_{990B829E-67FD-4C0F-856B-E3E83F109F90}" xr6:coauthVersionLast="47" xr6:coauthVersionMax="47" xr10:uidLastSave="{00000000-0000-0000-0000-000000000000}"/>
  <bookViews>
    <workbookView xWindow="1170" yWindow="1170" windowWidth="21600" windowHeight="11295" activeTab="1"/>
  </bookViews>
  <sheets>
    <sheet name="Guideline" sheetId="1" r:id="rId1"/>
    <sheet name="Cover" sheetId="4" r:id="rId2"/>
    <sheet name="FunctionList" sheetId="5" r:id="rId3"/>
    <sheet name="Test Report" sheetId="6" r:id="rId4"/>
    <sheet name="Function1" sheetId="7" r:id="rId5"/>
    <sheet name="Function2" sheetId="10" r:id="rId6"/>
    <sheet name="Function3" sheetId="11" r:id="rId7"/>
    <sheet name="Example" sheetId="12" r:id="rId8"/>
  </sheets>
  <definedNames>
    <definedName name="ACTION">#REF!</definedName>
    <definedName name="_xlnm.Print_Area" localSheetId="4">Function1!$A$1:$T$53</definedName>
    <definedName name="_xlnm.Print_Area" localSheetId="5">Function2!$A$1:$T$52</definedName>
    <definedName name="_xlnm.Print_Area" localSheetId="6">Function3!$A$1:$T$53</definedName>
    <definedName name="_xlnm.Print_Area" localSheetId="2">FunctionList!$A$1:$H$39</definedName>
    <definedName name="_xlnm.Print_Area" localSheetId="0">Guideline!$A$1:$A$48</definedName>
    <definedName name="_xlnm.Print_Area" localSheetId="3">'Test Report'!$A$1:$I$41</definedName>
    <definedName name="Z_2C0D9096_8D85_462A_A9B5_0B488ADB4269_.wvu.Cols" localSheetId="4" hidden="1">Function1!$E:$E</definedName>
    <definedName name="Z_2C0D9096_8D85_462A_A9B5_0B488ADB4269_.wvu.Cols" localSheetId="5" hidden="1">Function2!$E:$E</definedName>
    <definedName name="Z_2C0D9096_8D85_462A_A9B5_0B488ADB4269_.wvu.Cols" localSheetId="6" hidden="1">Function3!$E:$E</definedName>
    <definedName name="Z_2C0D9096_8D85_462A_A9B5_0B488ADB4269_.wvu.PrintArea" localSheetId="3" hidden="1">'Test Report'!$A:$I</definedName>
    <definedName name="Z_6F1DCD5D_5DAC_4817_BF40_2B66F6F593E6_.wvu.Cols" localSheetId="4" hidden="1">Function1!$E:$E</definedName>
    <definedName name="Z_6F1DCD5D_5DAC_4817_BF40_2B66F6F593E6_.wvu.Cols" localSheetId="5" hidden="1">Function2!$E:$E</definedName>
    <definedName name="Z_6F1DCD5D_5DAC_4817_BF40_2B66F6F593E6_.wvu.Cols" localSheetId="6" hidden="1">Function3!$E:$E</definedName>
    <definedName name="Z_6F1DCD5D_5DAC_4817_BF40_2B66F6F593E6_.wvu.PrintArea" localSheetId="3" hidden="1">'Test Report'!$A:$I</definedName>
    <definedName name="Z_BE54E0AD_3725_4423_92D7_4F1C045BE1BC_.wvu.Cols" localSheetId="4" hidden="1">Function1!$E:$E</definedName>
    <definedName name="Z_BE54E0AD_3725_4423_92D7_4F1C045BE1BC_.wvu.Cols" localSheetId="5" hidden="1">Function2!$E:$E</definedName>
    <definedName name="Z_BE54E0AD_3725_4423_92D7_4F1C045BE1BC_.wvu.Cols" localSheetId="6" hidden="1">Function3!$E:$E</definedName>
    <definedName name="Z_BE54E0AD_3725_4423_92D7_4F1C045BE1BC_.wvu.PrintArea" localSheetId="3" hidden="1">'Test Report'!$A:$I</definedName>
  </definedNames>
  <calcPr calcId="181029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11" l="1"/>
  <c r="H14" i="6" s="1"/>
  <c r="M7" i="11"/>
  <c r="G14" i="6" s="1"/>
  <c r="L7" i="11"/>
  <c r="F14" i="6" s="1"/>
  <c r="N7" i="10"/>
  <c r="M7" i="10"/>
  <c r="G13" i="6" s="1"/>
  <c r="L7" i="10"/>
  <c r="N7" i="7"/>
  <c r="M7" i="7"/>
  <c r="G12" i="6" s="1"/>
  <c r="G17" i="6" s="1"/>
  <c r="L7" i="7"/>
  <c r="F12" i="6" s="1"/>
  <c r="F17" i="6" s="1"/>
  <c r="C7" i="11"/>
  <c r="A7" i="11"/>
  <c r="F7" i="11"/>
  <c r="E14" i="6" s="1"/>
  <c r="C7" i="10"/>
  <c r="A7" i="10"/>
  <c r="C7" i="7"/>
  <c r="D12" i="6" s="1"/>
  <c r="D17" i="6" s="1"/>
  <c r="A7" i="7"/>
  <c r="C12" i="6" s="1"/>
  <c r="C17" i="6" s="1"/>
  <c r="L2" i="11"/>
  <c r="C2" i="11"/>
  <c r="L2" i="10"/>
  <c r="C2" i="10"/>
  <c r="C2" i="7"/>
  <c r="O7" i="12"/>
  <c r="L4" i="12" s="1"/>
  <c r="N7" i="12"/>
  <c r="M7" i="12"/>
  <c r="L7" i="12"/>
  <c r="A7" i="12"/>
  <c r="F7" i="12" s="1"/>
  <c r="C7" i="12"/>
  <c r="L2" i="12"/>
  <c r="C2" i="12"/>
  <c r="O7" i="11"/>
  <c r="I14" i="6" s="1"/>
  <c r="D14" i="6"/>
  <c r="H12" i="6"/>
  <c r="H17" i="6" s="1"/>
  <c r="H13" i="6"/>
  <c r="O7" i="7"/>
  <c r="I12" i="6" s="1"/>
  <c r="I17" i="6" s="1"/>
  <c r="O7" i="10"/>
  <c r="L4" i="10" s="1"/>
  <c r="I13" i="6"/>
  <c r="F13" i="6"/>
  <c r="F7" i="10"/>
  <c r="E13" i="6" s="1"/>
  <c r="D13" i="6"/>
  <c r="C13" i="6"/>
  <c r="B6" i="4"/>
  <c r="E4" i="5"/>
  <c r="E5" i="5"/>
  <c r="B4" i="6"/>
  <c r="B5" i="6"/>
  <c r="B6" i="6"/>
  <c r="L2" i="7"/>
  <c r="C14" i="6"/>
  <c r="D21" i="6" l="1"/>
  <c r="D22" i="6"/>
  <c r="D19" i="6"/>
  <c r="D20" i="6"/>
  <c r="D23" i="6"/>
  <c r="L4" i="7"/>
  <c r="L4" i="11"/>
  <c r="F7" i="7"/>
  <c r="E12" i="6" s="1"/>
  <c r="E17" i="6" s="1"/>
</calcChain>
</file>

<file path=xl/comments1.xml><?xml version="1.0" encoding="utf-8"?>
<comments xmlns="http://schemas.openxmlformats.org/spreadsheetml/2006/main">
  <authors>
    <author/>
  </authors>
  <commentList>
    <comment ref="D11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<sst xmlns="http://schemas.openxmlformats.org/spreadsheetml/2006/main" count="482" uniqueCount="184">
  <si>
    <t>UNIT 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</si>
  <si>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</si>
  <si>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</si>
  <si>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</si>
  <si>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</si>
  <si>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</si>
  <si>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</si>
  <si>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</si>
  <si>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</si>
  <si>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</si>
  <si>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</si>
  <si>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</si>
  <si>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</si>
  <si>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</si>
  <si>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</si>
  <si>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</si>
  <si>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</si>
  <si>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</si>
  <si>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</si>
  <si>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</si>
  <si>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</si>
  <si>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</si>
  <si>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</si>
  <si>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</si>
  <si>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</si>
  <si>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</si>
  <si>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</si>
  <si>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</si>
  <si>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</si>
  <si>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</si>
  <si>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</si>
  <si>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</si>
  <si>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</si>
  <si>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</si>
  <si>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</si>
  <si>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</si>
  <si>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</si>
  <si>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</si>
  <si>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</si>
  <si>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</si>
  <si>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</si>
  <si>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</si>
  <si>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</si>
  <si>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</si>
  <si>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</si>
  <si>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</si>
  <si>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</si>
  <si>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</si>
  <si>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</si>
  <si>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</si>
  <si>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</si>
  <si>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</si>
  <si>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</si>
  <si>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</si>
  <si>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</si>
  <si>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</si>
  <si>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</si>
  <si>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</si>
  <si>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</si>
  <si>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</si>
  <si>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</si>
  <si>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</si>
  <si>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</si>
  <si>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</si>
  <si>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</si>
  <si>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</si>
  <si>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</si>
  <si>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</si>
  <si>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</si>
  <si>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</si>
  <si>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</si>
  <si>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</si>
  <si>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</si>
  <si>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</si>
  <si>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</si>
  <si>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</si>
  <si>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</si>
  <si>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</si>
  <si>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</si>
  <si>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</si>
  <si>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</si>
  <si>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</si>
  <si>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</si>
  <si>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</si>
  <si>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</si>
  <si>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</si>
  <si>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</si>
  <si>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</si>
  <si>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</si>
  <si>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</si>
  <si>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</si>
  <si>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</si>
  <si>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</si>
  <si>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</si>
  <si>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</si>
  <si>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</si>
  <si>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</si>
  <si>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</si>
  <si>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</si>
  <si>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4" type="noConversion"/>
  </si>
  <si>
    <t>Input1</t>
    <phoneticPr fontId="34" type="noConversion"/>
  </si>
  <si>
    <t>Input2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</si>
  <si>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</si>
  <si>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</si>
  <si>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</si>
  <si>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</si>
  <si>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</si>
  <si>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</si>
  <si>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</si>
  <si>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</si>
  <si>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</si>
  <si>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</si>
  <si>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</si>
  <si>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</si>
  <si>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</si>
  <si>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</si>
  <si>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</si>
  <si>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</si>
  <si>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</si>
  <si>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</si>
  <si>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</si>
  <si>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>Class2</t>
  </si>
  <si>
    <t>Class3</t>
  </si>
  <si>
    <t>Function C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</si>
  <si>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</si>
  <si>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</si>
  <si>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</si>
  <si>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</si>
  <si>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</si>
  <si>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</si>
  <si>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</si>
  <si>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</si>
  <si>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</si>
  <si>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</si>
  <si>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</si>
  <si>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</si>
  <si>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</si>
  <si>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</si>
  <si>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</si>
  <si>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</si>
  <si>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</si>
  <si>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</si>
  <si>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4" type="noConversion"/>
  </si>
  <si>
    <t>b</t>
    <phoneticPr fontId="34" type="noConversion"/>
  </si>
  <si>
    <t>c</t>
    <phoneticPr fontId="44"/>
  </si>
  <si>
    <t xml:space="preserve">list </t>
    <phoneticPr fontId="44"/>
  </si>
  <si>
    <t>null</t>
    <phoneticPr fontId="44"/>
  </si>
  <si>
    <t>size = 0</t>
    <phoneticPr fontId="44"/>
  </si>
  <si>
    <t>O</t>
  </si>
  <si>
    <t>"please input a&gt;= -1"</t>
    <phoneticPr fontId="44"/>
  </si>
  <si>
    <t>{-1/2}</t>
    <phoneticPr fontId="44"/>
  </si>
  <si>
    <t>{1,1}</t>
    <phoneticPr fontId="44"/>
  </si>
  <si>
    <t>{1,-3}</t>
    <phoneticPr fontId="44"/>
  </si>
  <si>
    <t xml:space="preserve"> Function Code(Optional)</t>
  </si>
  <si>
    <t>Function1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</si>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</sst>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d\-mmm\-yy;@"/>
    <numFmt numFmtId="189" formatCode="mm/dd"/>
  </numFmts>
  <fonts count="5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11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 applyAlignment="1"/>
    <xf numFmtId="0" fontId="26" fillId="0" borderId="0" xfId="41" applyFont="1" applyBorder="1" applyAlignment="1">
      <alignment horizontal="left"/>
    </xf>
    <xf numFmtId="0" fontId="24" fillId="0" borderId="0" xfId="41" applyFont="1" applyBorder="1" applyAlignment="1"/>
    <xf numFmtId="0" fontId="25" fillId="0" borderId="0" xfId="41" applyFont="1" applyFill="1" applyBorder="1" applyAlignment="1">
      <alignment horizontal="left" indent="1"/>
    </xf>
    <xf numFmtId="0" fontId="26" fillId="0" borderId="0" xfId="41" applyFont="1" applyBorder="1" applyAlignment="1">
      <alignment horizontal="left" indent="1"/>
    </xf>
    <xf numFmtId="0" fontId="24" fillId="0" borderId="0" xfId="41" applyFont="1" applyFill="1"/>
    <xf numFmtId="0" fontId="24" fillId="0" borderId="0" xfId="41" applyFont="1" applyBorder="1"/>
    <xf numFmtId="0" fontId="24" fillId="0" borderId="0" xfId="41" applyFont="1" applyAlignment="1">
      <alignment vertical="center"/>
    </xf>
    <xf numFmtId="18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8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8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 applyBorder="1" applyAlignment="1"/>
    <xf numFmtId="0" fontId="24" fillId="24" borderId="0" xfId="41" applyFont="1" applyFill="1" applyBorder="1" applyAlignment="1"/>
    <xf numFmtId="0" fontId="24" fillId="24" borderId="0" xfId="41" applyFont="1" applyFill="1" applyBorder="1" applyAlignment="1">
      <alignment wrapText="1"/>
    </xf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84" fontId="24" fillId="24" borderId="0" xfId="38" applyNumberFormat="1" applyFont="1" applyFill="1" applyBorder="1"/>
    <xf numFmtId="0" fontId="25" fillId="24" borderId="0" xfId="41" applyFont="1" applyFill="1"/>
    <xf numFmtId="0" fontId="26" fillId="24" borderId="0" xfId="38" applyFont="1" applyFill="1" applyBorder="1"/>
    <xf numFmtId="0" fontId="24" fillId="24" borderId="0" xfId="41" applyFont="1" applyFill="1" applyBorder="1"/>
    <xf numFmtId="0" fontId="27" fillId="25" borderId="21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 wrapText="1"/>
    </xf>
    <xf numFmtId="0" fontId="27" fillId="25" borderId="22" xfId="41" applyNumberFormat="1" applyFont="1" applyFill="1" applyBorder="1" applyAlignment="1">
      <alignment horizontal="center"/>
    </xf>
    <xf numFmtId="0" fontId="27" fillId="25" borderId="25" xfId="41" applyNumberFormat="1" applyFont="1" applyFill="1" applyBorder="1" applyAlignment="1">
      <alignment horizontal="center" wrapText="1"/>
    </xf>
    <xf numFmtId="0" fontId="24" fillId="24" borderId="23" xfId="41" applyNumberFormat="1" applyFont="1" applyFill="1" applyBorder="1" applyAlignment="1">
      <alignment horizontal="center"/>
    </xf>
    <xf numFmtId="0" fontId="24" fillId="24" borderId="15" xfId="41" applyNumberFormat="1" applyFont="1" applyFill="1" applyBorder="1" applyAlignment="1">
      <alignment horizontal="center"/>
    </xf>
    <xf numFmtId="0" fontId="24" fillId="24" borderId="26" xfId="41" applyNumberFormat="1" applyFont="1" applyFill="1" applyBorder="1" applyAlignment="1">
      <alignment horizontal="center"/>
    </xf>
    <xf numFmtId="0" fontId="32" fillId="25" borderId="24" xfId="41" applyNumberFormat="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Border="1" applyAlignment="1">
      <alignment horizontal="center"/>
    </xf>
    <xf numFmtId="10" fontId="24" fillId="24" borderId="0" xfId="41" applyNumberFormat="1" applyFont="1" applyFill="1" applyBorder="1" applyAlignment="1">
      <alignment horizontal="center"/>
    </xf>
    <xf numFmtId="9" fontId="24" fillId="24" borderId="0" xfId="41" applyNumberFormat="1" applyFont="1" applyFill="1" applyBorder="1" applyAlignment="1">
      <alignment horizontal="center"/>
    </xf>
    <xf numFmtId="0" fontId="33" fillId="24" borderId="0" xfId="41" applyFont="1" applyFill="1" applyBorder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 applyFill="1"/>
    <xf numFmtId="49" fontId="35" fillId="0" borderId="0" xfId="41" applyNumberFormat="1" applyFont="1" applyBorder="1"/>
    <xf numFmtId="0" fontId="35" fillId="0" borderId="0" xfId="41" applyFont="1" applyBorder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Border="1" applyAlignment="1">
      <alignment horizontal="right"/>
    </xf>
    <xf numFmtId="0" fontId="35" fillId="0" borderId="0" xfId="41" applyFont="1" applyFill="1" applyBorder="1" applyAlignment="1">
      <alignment vertical="top"/>
    </xf>
    <xf numFmtId="0" fontId="35" fillId="28" borderId="0" xfId="41" applyFont="1" applyFill="1" applyBorder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 applyAlignment="1"/>
    <xf numFmtId="0" fontId="36" fillId="27" borderId="40" xfId="41" applyFont="1" applyFill="1" applyBorder="1" applyAlignment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 applyAlignment="1"/>
    <xf numFmtId="0" fontId="35" fillId="27" borderId="30" xfId="41" applyFont="1" applyFill="1" applyBorder="1" applyAlignment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 applyAlignment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89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 applyFill="1"/>
    <xf numFmtId="49" fontId="35" fillId="0" borderId="0" xfId="42" applyNumberFormat="1" applyFont="1" applyBorder="1"/>
    <xf numFmtId="0" fontId="35" fillId="0" borderId="0" xfId="42" applyFont="1" applyBorder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Border="1" applyAlignment="1">
      <alignment horizontal="right"/>
    </xf>
    <xf numFmtId="0" fontId="35" fillId="0" borderId="0" xfId="42" applyFont="1" applyFill="1" applyBorder="1" applyAlignment="1">
      <alignment vertical="top"/>
    </xf>
    <xf numFmtId="0" fontId="35" fillId="28" borderId="0" xfId="42" applyFont="1" applyFill="1" applyBorder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 applyAlignment="1"/>
    <xf numFmtId="0" fontId="36" fillId="27" borderId="40" xfId="42" applyFont="1" applyFill="1" applyBorder="1" applyAlignment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 applyAlignment="1"/>
    <xf numFmtId="0" fontId="35" fillId="27" borderId="30" xfId="42" applyFont="1" applyFill="1" applyBorder="1" applyAlignment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 applyAlignment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189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 applyAlignment="1"/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24" borderId="43" xfId="41" applyFont="1" applyFill="1" applyBorder="1" applyAlignment="1">
      <alignment horizontal="left"/>
    </xf>
    <xf numFmtId="0" fontId="30" fillId="0" borderId="0" xfId="41" applyFont="1" applyFill="1" applyBorder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36" fillId="0" borderId="0" xfId="41" applyFont="1" applyAlignment="1">
      <alignment horizontal="center"/>
    </xf>
    <xf numFmtId="0" fontId="52" fillId="0" borderId="38" xfId="41" applyFont="1" applyBorder="1" applyAlignment="1">
      <alignment horizontal="center"/>
    </xf>
    <xf numFmtId="0" fontId="52" fillId="0" borderId="42" xfId="41" applyFont="1" applyBorder="1" applyAlignment="1">
      <alignment horizontal="center"/>
    </xf>
    <xf numFmtId="0" fontId="51" fillId="27" borderId="30" xfId="41" applyFont="1" applyFill="1" applyBorder="1" applyAlignment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NumberFormat="1" applyFont="1" applyFill="1" applyBorder="1" applyAlignment="1">
      <alignment horizontal="center" vertical="center"/>
    </xf>
    <xf numFmtId="0" fontId="36" fillId="0" borderId="0" xfId="41" applyFont="1" applyBorder="1" applyAlignment="1">
      <alignment horizontal="left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6" fillId="0" borderId="0" xfId="42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Border="1" applyAlignment="1">
      <alignment horizontal="left"/>
    </xf>
    <xf numFmtId="2" fontId="30" fillId="24" borderId="0" xfId="41" applyNumberFormat="1" applyFont="1" applyFill="1" applyBorder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 applyAlignment="1"/>
    <xf numFmtId="0" fontId="35" fillId="27" borderId="32" xfId="41" applyFont="1" applyFill="1" applyBorder="1" applyAlignment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2" fillId="0" borderId="51" xfId="41" applyFont="1" applyBorder="1" applyAlignment="1">
      <alignment horizontal="center"/>
    </xf>
    <xf numFmtId="0" fontId="35" fillId="0" borderId="52" xfId="41" applyFont="1" applyFill="1" applyBorder="1" applyAlignment="1">
      <alignment horizontal="left"/>
    </xf>
    <xf numFmtId="0" fontId="35" fillId="0" borderId="52" xfId="41" applyFont="1" applyBorder="1" applyAlignment="1">
      <alignment horizontal="center"/>
    </xf>
    <xf numFmtId="0" fontId="55" fillId="0" borderId="0" xfId="41" applyFont="1" applyFill="1" applyBorder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2" fillId="0" borderId="55" xfId="41" applyFont="1" applyBorder="1" applyAlignment="1">
      <alignment horizontal="center"/>
    </xf>
    <xf numFmtId="0" fontId="55" fillId="30" borderId="56" xfId="41" applyFont="1" applyFill="1" applyBorder="1" applyAlignment="1">
      <alignment vertical="center"/>
    </xf>
    <xf numFmtId="0" fontId="52" fillId="0" borderId="57" xfId="41" applyFont="1" applyBorder="1" applyAlignment="1">
      <alignment horizontal="center"/>
    </xf>
    <xf numFmtId="0" fontId="52" fillId="0" borderId="58" xfId="41" applyFont="1" applyBorder="1" applyAlignment="1">
      <alignment horizontal="center"/>
    </xf>
    <xf numFmtId="0" fontId="52" fillId="0" borderId="59" xfId="41" applyFont="1" applyBorder="1" applyAlignment="1">
      <alignment horizontal="center"/>
    </xf>
    <xf numFmtId="0" fontId="35" fillId="0" borderId="60" xfId="41" applyFont="1" applyBorder="1" applyAlignment="1">
      <alignment horizontal="center"/>
    </xf>
    <xf numFmtId="0" fontId="55" fillId="30" borderId="61" xfId="41" applyFont="1" applyFill="1" applyBorder="1" applyAlignment="1">
      <alignment vertical="top"/>
    </xf>
    <xf numFmtId="0" fontId="35" fillId="0" borderId="55" xfId="41" applyFont="1" applyBorder="1" applyAlignment="1">
      <alignment horizontal="center"/>
    </xf>
    <xf numFmtId="189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55" fillId="30" borderId="66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7" xfId="41" applyFont="1" applyFill="1" applyBorder="1" applyAlignment="1">
      <alignment vertical="top"/>
    </xf>
    <xf numFmtId="184" fontId="27" fillId="25" borderId="68" xfId="41" applyNumberFormat="1" applyFont="1" applyFill="1" applyBorder="1" applyAlignment="1">
      <alignment horizontal="center" vertical="center"/>
    </xf>
    <xf numFmtId="0" fontId="55" fillId="30" borderId="69" xfId="41" applyFont="1" applyFill="1" applyBorder="1" applyAlignment="1">
      <alignment horizontal="left"/>
    </xf>
    <xf numFmtId="0" fontId="56" fillId="30" borderId="69" xfId="41" applyFont="1" applyFill="1" applyBorder="1"/>
    <xf numFmtId="0" fontId="56" fillId="30" borderId="69" xfId="41" applyFont="1" applyFill="1" applyBorder="1" applyAlignment="1">
      <alignment horizontal="right"/>
    </xf>
    <xf numFmtId="0" fontId="55" fillId="30" borderId="69" xfId="41" applyFont="1" applyFill="1" applyBorder="1" applyAlignment="1">
      <alignment vertical="top" textRotation="180"/>
    </xf>
    <xf numFmtId="0" fontId="55" fillId="30" borderId="70" xfId="41" applyFont="1" applyFill="1" applyBorder="1" applyAlignment="1">
      <alignment vertical="top" textRotation="180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NumberFormat="1" applyFont="1" applyFill="1" applyBorder="1" applyAlignment="1">
      <alignment horizontal="center" vertical="center"/>
    </xf>
    <xf numFmtId="0" fontId="36" fillId="27" borderId="49" xfId="42" applyFont="1" applyFill="1" applyBorder="1" applyAlignment="1"/>
    <xf numFmtId="0" fontId="35" fillId="27" borderId="32" xfId="42" applyFont="1" applyFill="1" applyBorder="1" applyAlignment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35" fillId="0" borderId="52" xfId="42" applyFont="1" applyFill="1" applyBorder="1" applyAlignment="1">
      <alignment horizontal="left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39" fillId="0" borderId="55" xfId="42" applyFont="1" applyBorder="1" applyAlignment="1">
      <alignment horizontal="center"/>
    </xf>
    <xf numFmtId="0" fontId="55" fillId="30" borderId="56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63" xfId="42" applyFont="1" applyFill="1" applyBorder="1" applyAlignment="1">
      <alignment vertical="top"/>
    </xf>
    <xf numFmtId="0" fontId="39" fillId="0" borderId="58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39" fillId="0" borderId="59" xfId="42" applyFont="1" applyBorder="1" applyAlignment="1">
      <alignment horizontal="center"/>
    </xf>
    <xf numFmtId="0" fontId="41" fillId="0" borderId="60" xfId="42" applyFont="1" applyBorder="1" applyAlignment="1">
      <alignment horizontal="center"/>
    </xf>
    <xf numFmtId="0" fontId="55" fillId="30" borderId="61" xfId="42" applyFont="1" applyFill="1" applyBorder="1" applyAlignment="1">
      <alignment vertical="top"/>
    </xf>
    <xf numFmtId="0" fontId="41" fillId="0" borderId="55" xfId="42" applyFont="1" applyBorder="1" applyAlignment="1">
      <alignment horizontal="center"/>
    </xf>
    <xf numFmtId="189" fontId="35" fillId="0" borderId="55" xfId="42" applyNumberFormat="1" applyFont="1" applyBorder="1" applyAlignment="1">
      <alignment vertical="top" textRotation="255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7" xfId="42" applyFont="1" applyBorder="1" applyAlignment="1">
      <alignment textRotation="255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45" fillId="0" borderId="43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45" fillId="24" borderId="43" xfId="38" applyFont="1" applyFill="1" applyBorder="1" applyAlignment="1">
      <alignment vertical="top"/>
    </xf>
    <xf numFmtId="0" fontId="23" fillId="24" borderId="0" xfId="38" applyFont="1" applyFill="1" applyBorder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0" fontId="36" fillId="24" borderId="88" xfId="41" applyFont="1" applyFill="1" applyBorder="1" applyAlignment="1">
      <alignment horizontal="center" vertical="center" wrapText="1"/>
    </xf>
    <xf numFmtId="0" fontId="36" fillId="24" borderId="48" xfId="41" applyFont="1" applyFill="1" applyBorder="1" applyAlignment="1">
      <alignment horizontal="center" vertical="center" wrapText="1"/>
    </xf>
    <xf numFmtId="0" fontId="36" fillId="24" borderId="89" xfId="41" applyFont="1" applyFill="1" applyBorder="1" applyAlignment="1">
      <alignment horizontal="center" vertical="center" wrapText="1"/>
    </xf>
    <xf numFmtId="49" fontId="35" fillId="24" borderId="73" xfId="39" applyNumberFormat="1" applyFont="1" applyFill="1" applyBorder="1" applyAlignment="1">
      <alignment horizontal="center" wrapText="1"/>
    </xf>
    <xf numFmtId="0" fontId="35" fillId="24" borderId="72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center" wrapText="1"/>
    </xf>
    <xf numFmtId="0" fontId="38" fillId="24" borderId="44" xfId="39" applyFont="1" applyFill="1" applyBorder="1" applyAlignment="1">
      <alignment horizontal="left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88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91" xfId="39" applyFont="1" applyFill="1" applyBorder="1" applyAlignment="1">
      <alignment horizontal="center" wrapText="1"/>
    </xf>
    <xf numFmtId="0" fontId="36" fillId="24" borderId="92" xfId="41" applyFont="1" applyFill="1" applyBorder="1" applyAlignment="1">
      <alignment horizontal="center" vertical="center" wrapText="1"/>
    </xf>
    <xf numFmtId="0" fontId="35" fillId="0" borderId="33" xfId="41" applyFont="1" applyBorder="1" applyAlignment="1">
      <alignment horizontal="left" vertical="top"/>
    </xf>
    <xf numFmtId="0" fontId="35" fillId="0" borderId="38" xfId="41" applyFont="1" applyBorder="1" applyAlignment="1">
      <alignment horizontal="left" vertical="top"/>
    </xf>
    <xf numFmtId="0" fontId="35" fillId="0" borderId="52" xfId="41" applyFont="1" applyFill="1" applyBorder="1" applyAlignment="1">
      <alignment horizontal="left"/>
    </xf>
    <xf numFmtId="0" fontId="38" fillId="24" borderId="83" xfId="39" applyFont="1" applyFill="1" applyBorder="1" applyAlignment="1">
      <alignment horizontal="left" wrapText="1"/>
    </xf>
    <xf numFmtId="0" fontId="38" fillId="24" borderId="84" xfId="39" applyFont="1" applyFill="1" applyBorder="1" applyAlignment="1">
      <alignment horizontal="left" wrapText="1"/>
    </xf>
    <xf numFmtId="0" fontId="35" fillId="0" borderId="0" xfId="41" applyFont="1" applyBorder="1" applyAlignment="1">
      <alignment horizontal="right"/>
    </xf>
    <xf numFmtId="0" fontId="36" fillId="24" borderId="82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6" fillId="24" borderId="82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85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78" xfId="41" applyFont="1" applyFill="1" applyBorder="1" applyAlignment="1">
      <alignment horizontal="center" vertical="center"/>
    </xf>
    <xf numFmtId="0" fontId="35" fillId="24" borderId="87" xfId="41" applyFont="1" applyFill="1" applyBorder="1" applyAlignment="1">
      <alignment horizontal="center" vertical="center"/>
    </xf>
    <xf numFmtId="0" fontId="36" fillId="24" borderId="71" xfId="39" applyFont="1" applyFill="1" applyBorder="1" applyAlignment="1">
      <alignment horizontal="left" wrapText="1"/>
    </xf>
    <xf numFmtId="0" fontId="36" fillId="24" borderId="72" xfId="39" applyFont="1" applyFill="1" applyBorder="1" applyAlignment="1">
      <alignment horizontal="left" wrapText="1"/>
    </xf>
    <xf numFmtId="49" fontId="38" fillId="24" borderId="73" xfId="39" applyNumberFormat="1" applyFont="1" applyFill="1" applyBorder="1" applyAlignment="1">
      <alignment horizontal="left" wrapText="1"/>
    </xf>
    <xf numFmtId="0" fontId="38" fillId="24" borderId="72" xfId="39" applyFont="1" applyFill="1" applyBorder="1" applyAlignment="1">
      <alignment horizontal="left" wrapText="1"/>
    </xf>
    <xf numFmtId="0" fontId="38" fillId="24" borderId="74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0" fontId="36" fillId="24" borderId="76" xfId="39" applyFont="1" applyFill="1" applyBorder="1" applyAlignment="1">
      <alignment horizontal="left" wrapText="1"/>
    </xf>
    <xf numFmtId="0" fontId="35" fillId="0" borderId="33" xfId="41" applyFont="1" applyBorder="1" applyAlignment="1">
      <alignment horizontal="left"/>
    </xf>
    <xf numFmtId="0" fontId="35" fillId="24" borderId="77" xfId="41" applyFont="1" applyFill="1" applyBorder="1" applyAlignment="1">
      <alignment horizontal="center" vertical="center"/>
    </xf>
    <xf numFmtId="0" fontId="35" fillId="24" borderId="79" xfId="41" applyFont="1" applyFill="1" applyBorder="1" applyAlignment="1">
      <alignment horizontal="center" vertical="center"/>
    </xf>
    <xf numFmtId="0" fontId="35" fillId="24" borderId="80" xfId="41" applyFont="1" applyFill="1" applyBorder="1" applyAlignment="1">
      <alignment horizontal="center" vertical="center"/>
    </xf>
    <xf numFmtId="0" fontId="35" fillId="24" borderId="81" xfId="41" applyFont="1" applyFill="1" applyBorder="1" applyAlignment="1">
      <alignment horizontal="center" vertical="center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6" fillId="24" borderId="95" xfId="39" applyFont="1" applyFill="1" applyBorder="1" applyAlignment="1">
      <alignment horizontal="left" wrapText="1"/>
    </xf>
    <xf numFmtId="0" fontId="36" fillId="24" borderId="96" xfId="39" applyFont="1" applyFill="1" applyBorder="1" applyAlignment="1">
      <alignment horizontal="left" wrapText="1"/>
    </xf>
    <xf numFmtId="0" fontId="36" fillId="24" borderId="93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49" fontId="38" fillId="24" borderId="94" xfId="39" applyNumberFormat="1" applyFont="1" applyFill="1" applyBorder="1" applyAlignment="1">
      <alignment horizontal="left" wrapText="1"/>
    </xf>
    <xf numFmtId="0" fontId="34" fillId="0" borderId="47" xfId="0" applyFont="1" applyBorder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Fill="1" applyBorder="1" applyAlignment="1">
      <alignment horizontal="left"/>
    </xf>
    <xf numFmtId="0" fontId="38" fillId="24" borderId="83" xfId="40" applyFont="1" applyFill="1" applyBorder="1" applyAlignment="1">
      <alignment horizontal="left" wrapText="1"/>
    </xf>
    <xf numFmtId="0" fontId="38" fillId="24" borderId="44" xfId="40" applyFont="1" applyFill="1" applyBorder="1" applyAlignment="1">
      <alignment horizontal="left" wrapText="1"/>
    </xf>
    <xf numFmtId="0" fontId="38" fillId="24" borderId="84" xfId="40" applyFont="1" applyFill="1" applyBorder="1" applyAlignment="1">
      <alignment horizontal="left" wrapText="1"/>
    </xf>
    <xf numFmtId="0" fontId="35" fillId="0" borderId="0" xfId="42" applyFont="1" applyBorder="1" applyAlignment="1">
      <alignment horizontal="right"/>
    </xf>
    <xf numFmtId="0" fontId="36" fillId="24" borderId="82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6" fillId="24" borderId="82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8" fillId="24" borderId="85" xfId="40" applyFont="1" applyFill="1" applyBorder="1" applyAlignment="1">
      <alignment horizontal="left" wrapText="1"/>
    </xf>
    <xf numFmtId="0" fontId="38" fillId="24" borderId="86" xfId="40" applyFont="1" applyFill="1" applyBorder="1" applyAlignment="1">
      <alignment horizontal="left" wrapText="1"/>
    </xf>
    <xf numFmtId="0" fontId="36" fillId="24" borderId="48" xfId="42" applyFont="1" applyFill="1" applyBorder="1" applyAlignment="1">
      <alignment horizontal="center" vertical="center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78" xfId="42" applyFont="1" applyFill="1" applyBorder="1" applyAlignment="1">
      <alignment horizontal="center" vertical="center"/>
    </xf>
    <xf numFmtId="0" fontId="35" fillId="24" borderId="87" xfId="42" applyFont="1" applyFill="1" applyBorder="1" applyAlignment="1">
      <alignment horizontal="center" vertical="center"/>
    </xf>
    <xf numFmtId="0" fontId="35" fillId="24" borderId="77" xfId="42" applyFont="1" applyFill="1" applyBorder="1" applyAlignment="1">
      <alignment horizontal="center" vertical="center"/>
    </xf>
    <xf numFmtId="0" fontId="35" fillId="24" borderId="79" xfId="42" applyFont="1" applyFill="1" applyBorder="1" applyAlignment="1">
      <alignment horizontal="center" vertical="center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80" xfId="42" applyFont="1" applyFill="1" applyBorder="1" applyAlignment="1">
      <alignment horizontal="center" vertical="center"/>
    </xf>
    <xf numFmtId="0" fontId="35" fillId="24" borderId="81" xfId="42" applyFont="1" applyFill="1" applyBorder="1" applyAlignment="1">
      <alignment horizontal="center" vertical="center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49" fontId="38" fillId="24" borderId="98" xfId="39" applyNumberFormat="1" applyFont="1" applyFill="1" applyBorder="1" applyAlignment="1">
      <alignment horizontal="left" wrapText="1"/>
    </xf>
    <xf numFmtId="49" fontId="38" fillId="24" borderId="99" xfId="39" applyNumberFormat="1" applyFont="1" applyFill="1" applyBorder="1" applyAlignment="1">
      <alignment horizontal="left" wrapText="1"/>
    </xf>
    <xf numFmtId="0" fontId="36" fillId="24" borderId="92" xfId="42" applyFont="1" applyFill="1" applyBorder="1" applyAlignment="1">
      <alignment horizontal="center" vertical="center" wrapText="1"/>
    </xf>
    <xf numFmtId="0" fontId="36" fillId="24" borderId="88" xfId="42" applyFont="1" applyFill="1" applyBorder="1" applyAlignment="1">
      <alignment horizontal="center" vertical="center" wrapText="1"/>
    </xf>
    <xf numFmtId="0" fontId="36" fillId="24" borderId="89" xfId="42" applyFont="1" applyFill="1" applyBorder="1" applyAlignment="1">
      <alignment horizontal="center" vertical="center" wrapText="1"/>
    </xf>
    <xf numFmtId="0" fontId="35" fillId="24" borderId="88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91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/>
    <cellStyle name="Normal_Sheet1" xfId="39"/>
    <cellStyle name="Normal_Sheet1_Template_UnitTest Case_v0.9" xfId="40"/>
    <cellStyle name="Normal_Template_UnitTest Case_v0.9" xfId="41"/>
    <cellStyle name="Normal_Template_UnitTest Case_v0.9_Template_UnitTest Case_v0.9" xfId="42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vi-VN"/>
              <a:t>Test Type</a:t>
            </a:r>
          </a:p>
        </c:rich>
      </c:tx>
      <c:layout>
        <c:manualLayout>
          <c:xMode val="edge"/>
          <c:yMode val="edge"/>
          <c:x val="0.41836734693877548"/>
          <c:y val="3.90624132708486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A50-484A-99B7-1A1A79A8F56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50-484A-99B7-1A1A79A8F56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A50-484A-99B7-1A1A79A8F564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0-484A-99B7-1A1A79A8F56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A50-484A-99B7-1A1A79A8F56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8A50-484A-99B7-1A1A79A8F56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A50-484A-99B7-1A1A79A8F56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8A50-484A-99B7-1A1A79A8F564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A50-484A-99B7-1A1A79A8F56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8A50-484A-99B7-1A1A79A8F56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8A50-484A-99B7-1A1A79A8F56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50-484A-99B7-1A1A79A8F564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A50-484A-99B7-1A1A79A8F56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8A50-484A-99B7-1A1A79A8F56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8A50-484A-99B7-1A1A79A8F56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A50-484A-99B7-1A1A79A8F564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A50-484A-99B7-1A1A79A8F56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A50-484A-99B7-1A1A79A8F56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A50-484A-99B7-1A1A79A8F56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A50-484A-99B7-1A1A79A8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359874684751265"/>
          <c:y val="0.39063844255174202"/>
          <c:w val="8.4186535384025138E-2"/>
          <c:h val="0.316417138466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vi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vi-V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vi-VN"/>
              <a:t>Passed Percent</a:t>
            </a:r>
          </a:p>
        </c:rich>
      </c:tx>
      <c:layout>
        <c:manualLayout>
          <c:xMode val="edge"/>
          <c:yMode val="edge"/>
          <c:x val="0.36547092470014958"/>
          <c:y val="3.95257932208015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4BD-46CD-B1B6-DEDC09FCCED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BD-46CD-B1B6-DEDC09FCCED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4BD-46CD-B1B6-DEDC09FCCED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BD-46CD-B1B6-DEDC09FCCED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4BD-46CD-B1B6-DEDC09FCCED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14BD-46CD-B1B6-DEDC09FCCED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4BD-46CD-B1B6-DEDC09FCCED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14BD-46CD-B1B6-DEDC09FCCED7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4BD-46CD-B1B6-DEDC09FCCED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14BD-46CD-B1B6-DEDC09FCCED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14BD-46CD-B1B6-DEDC09FCCED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BD-46CD-B1B6-DEDC09FCCED7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4BD-46CD-B1B6-DEDC09FCCED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14BD-46CD-B1B6-DEDC09FCCED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14BD-46CD-B1B6-DEDC09FCCED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BD-46CD-B1B6-DEDC09FCCED7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4BD-46CD-B1B6-DEDC09FCCED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BD-46CD-B1B6-DEDC09FCCED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4BD-46CD-B1B6-DEDC09FCCED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vi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BD-46CD-B1B6-DEDC09FC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53605567896789"/>
          <c:y val="0.43479767833196958"/>
          <c:w val="0.19058901069545062"/>
          <c:h val="0.300405668665724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vi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vi-VN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0</xdr:col>
      <xdr:colOff>2133600</xdr:colOff>
      <xdr:row>1</xdr:row>
      <xdr:rowOff>790575</xdr:rowOff>
    </xdr:to>
    <xdr:pic>
      <xdr:nvPicPr>
        <xdr:cNvPr id="1036" name="Picture 1">
          <a:extLst>
            <a:ext uri="{FF2B5EF4-FFF2-40B4-BE49-F238E27FC236}">
              <a16:creationId xmlns:a16="http://schemas.microsoft.com/office/drawing/2014/main" id="{D640DB8A-F8B2-4C18-8107-EF2A756E6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21336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24</xdr:row>
      <xdr:rowOff>0</xdr:rowOff>
    </xdr:from>
    <xdr:to>
      <xdr:col>9</xdr:col>
      <xdr:colOff>0</xdr:colOff>
      <xdr:row>39</xdr:row>
      <xdr:rowOff>9525</xdr:rowOff>
    </xdr:to>
    <xdr:graphicFrame macro="">
      <xdr:nvGraphicFramePr>
        <xdr:cNvPr id="2069" name="Chart 16">
          <a:extLst>
            <a:ext uri="{FF2B5EF4-FFF2-40B4-BE49-F238E27FC236}">
              <a16:creationId xmlns:a16="http://schemas.microsoft.com/office/drawing/2014/main" id="{BDA74100-F518-4235-B1B0-C57396D1D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24</xdr:row>
      <xdr:rowOff>19050</xdr:rowOff>
    </xdr:from>
    <xdr:to>
      <xdr:col>3</xdr:col>
      <xdr:colOff>238125</xdr:colOff>
      <xdr:row>39</xdr:row>
      <xdr:rowOff>0</xdr:rowOff>
    </xdr:to>
    <xdr:graphicFrame macro="">
      <xdr:nvGraphicFramePr>
        <xdr:cNvPr id="2070" name="Chart 17">
          <a:extLst>
            <a:ext uri="{FF2B5EF4-FFF2-40B4-BE49-F238E27FC236}">
              <a16:creationId xmlns:a16="http://schemas.microsoft.com/office/drawing/2014/main" id="{3C3FA4CE-825D-4B59-A78B-CE978BB82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="85" zoomScaleNormal="85" workbookViewId="0"/>
  </sheetViews>
  <sheetFormatPr defaultRowHeight="14.25"/>
  <cols>
    <col min="1" max="1" width="119.375" style="170" customWidth="1"/>
    <col min="2" max="16384" width="9" style="170"/>
  </cols>
  <sheetData>
    <row r="1" spans="1:1" s="167" customFormat="1" ht="22.5">
      <c r="A1" s="166" t="s">
        <v>127</v>
      </c>
    </row>
    <row r="2" spans="1:1" s="167" customFormat="1" ht="22.5">
      <c r="A2" s="166"/>
    </row>
    <row r="3" spans="1:1" s="168" customFormat="1" ht="18">
      <c r="A3" s="171" t="s">
        <v>155</v>
      </c>
    </row>
    <row r="4" spans="1:1" ht="15" customHeight="1">
      <c r="A4" s="174" t="s">
        <v>125</v>
      </c>
    </row>
    <row r="5" spans="1:1" ht="15" customHeight="1">
      <c r="A5" s="174" t="s">
        <v>160</v>
      </c>
    </row>
    <row r="6" spans="1:1" ht="38.25">
      <c r="A6" s="175" t="s">
        <v>175</v>
      </c>
    </row>
    <row r="7" spans="1:1" ht="29.25" customHeight="1">
      <c r="A7" s="175" t="s">
        <v>178</v>
      </c>
    </row>
    <row r="8" spans="1:1" ht="30" customHeight="1">
      <c r="A8" s="176" t="s">
        <v>162</v>
      </c>
    </row>
    <row r="9" spans="1:1" s="179" customFormat="1" ht="16.5" customHeight="1">
      <c r="A9" s="178" t="s">
        <v>176</v>
      </c>
    </row>
    <row r="10" spans="1:1" ht="16.5" customHeight="1">
      <c r="A10" s="169"/>
    </row>
    <row r="11" spans="1:1" s="168" customFormat="1" ht="18">
      <c r="A11" s="171" t="s">
        <v>126</v>
      </c>
    </row>
    <row r="12" spans="1:1" s="172" customFormat="1" ht="15">
      <c r="A12" s="177" t="s">
        <v>98</v>
      </c>
    </row>
    <row r="13" spans="1:1" ht="25.5">
      <c r="A13" s="174" t="s">
        <v>163</v>
      </c>
    </row>
    <row r="14" spans="1:1">
      <c r="A14" s="174" t="s">
        <v>164</v>
      </c>
    </row>
    <row r="15" spans="1:1">
      <c r="A15" s="175" t="s">
        <v>165</v>
      </c>
    </row>
    <row r="16" spans="1:1">
      <c r="A16" s="169"/>
    </row>
    <row r="17" spans="1:4" s="172" customFormat="1" ht="15">
      <c r="A17" s="177" t="s">
        <v>129</v>
      </c>
    </row>
    <row r="18" spans="1:4">
      <c r="A18" s="174" t="s">
        <v>130</v>
      </c>
      <c r="B18" s="169"/>
    </row>
    <row r="19" spans="1:4">
      <c r="A19" s="177" t="s">
        <v>166</v>
      </c>
    </row>
    <row r="20" spans="1:4">
      <c r="A20" s="174" t="s">
        <v>131</v>
      </c>
      <c r="B20" s="169"/>
    </row>
    <row r="21" spans="1:4" ht="25.5">
      <c r="A21" s="175" t="s">
        <v>132</v>
      </c>
    </row>
    <row r="22" spans="1:4">
      <c r="A22" s="174" t="s">
        <v>133</v>
      </c>
      <c r="B22" s="173"/>
    </row>
    <row r="23" spans="1:4">
      <c r="A23" s="174" t="s">
        <v>134</v>
      </c>
      <c r="B23" s="169"/>
    </row>
    <row r="24" spans="1:4">
      <c r="A24" s="174" t="s">
        <v>179</v>
      </c>
      <c r="B24" s="169"/>
    </row>
    <row r="25" spans="1:4">
      <c r="A25" s="174" t="s">
        <v>135</v>
      </c>
      <c r="B25" s="169"/>
      <c r="C25" s="169" t="s">
        <v>94</v>
      </c>
      <c r="D25" s="169" t="s">
        <v>94</v>
      </c>
    </row>
    <row r="26" spans="1:4">
      <c r="A26" s="174" t="s">
        <v>95</v>
      </c>
    </row>
    <row r="27" spans="1:4">
      <c r="A27" s="174" t="s">
        <v>156</v>
      </c>
      <c r="B27" s="169"/>
    </row>
    <row r="28" spans="1:4">
      <c r="A28" s="174" t="s">
        <v>157</v>
      </c>
    </row>
    <row r="29" spans="1:4">
      <c r="A29" s="174" t="s">
        <v>158</v>
      </c>
    </row>
    <row r="30" spans="1:4">
      <c r="A30" s="174" t="s">
        <v>159</v>
      </c>
      <c r="B30" s="169"/>
      <c r="C30" s="169" t="s">
        <v>94</v>
      </c>
    </row>
    <row r="31" spans="1:4">
      <c r="A31" s="177" t="s">
        <v>167</v>
      </c>
    </row>
    <row r="32" spans="1:4" ht="30" customHeight="1">
      <c r="A32" s="175" t="s">
        <v>136</v>
      </c>
    </row>
    <row r="33" spans="1:2">
      <c r="A33" s="174" t="s">
        <v>96</v>
      </c>
    </row>
    <row r="34" spans="1:2">
      <c r="A34" s="174" t="s">
        <v>137</v>
      </c>
    </row>
    <row r="35" spans="1:2">
      <c r="A35" s="174" t="s">
        <v>138</v>
      </c>
      <c r="B35" s="169"/>
    </row>
    <row r="36" spans="1:2">
      <c r="A36" s="174" t="s">
        <v>139</v>
      </c>
      <c r="B36" s="169"/>
    </row>
    <row r="37" spans="1:2">
      <c r="A37" s="177" t="s">
        <v>168</v>
      </c>
    </row>
    <row r="38" spans="1:2">
      <c r="A38" s="174" t="s">
        <v>140</v>
      </c>
    </row>
    <row r="39" spans="1:2" ht="38.25">
      <c r="A39" s="176" t="s">
        <v>161</v>
      </c>
      <c r="B39" s="169"/>
    </row>
    <row r="40" spans="1:2">
      <c r="A40" s="176"/>
      <c r="B40" s="169"/>
    </row>
    <row r="41" spans="1:2" s="172" customFormat="1" ht="15">
      <c r="A41" s="177" t="s">
        <v>141</v>
      </c>
    </row>
    <row r="42" spans="1:2">
      <c r="A42" s="174" t="s">
        <v>169</v>
      </c>
    </row>
    <row r="43" spans="1:2">
      <c r="A43" s="174" t="s">
        <v>170</v>
      </c>
    </row>
    <row r="44" spans="1:2">
      <c r="A44" s="174" t="s">
        <v>171</v>
      </c>
    </row>
    <row r="45" spans="1:2">
      <c r="A45" s="174" t="s">
        <v>172</v>
      </c>
    </row>
    <row r="46" spans="1:2">
      <c r="A46" s="174" t="s">
        <v>173</v>
      </c>
    </row>
    <row r="47" spans="1:2">
      <c r="A47" s="174" t="s">
        <v>174</v>
      </c>
    </row>
    <row r="48" spans="1:2">
      <c r="A48" s="169" t="s">
        <v>97</v>
      </c>
    </row>
    <row r="49" spans="1:1">
      <c r="A49" s="169"/>
    </row>
  </sheetData>
  <phoneticPr fontId="44"/>
  <pageMargins left="0.75" right="0.75" top="0.7" bottom="0.6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8"/>
  <sheetViews>
    <sheetView tabSelected="1" workbookViewId="0">
      <selection activeCell="C18" sqref="C18"/>
    </sheetView>
  </sheetViews>
  <sheetFormatPr defaultRowHeight="12.75"/>
  <cols>
    <col min="1" max="1" width="28.25" style="28" customWidth="1"/>
    <col min="2" max="2" width="10" style="3" customWidth="1"/>
    <col min="3" max="3" width="14.375" style="3" customWidth="1"/>
    <col min="4" max="4" width="8" style="3" customWidth="1"/>
    <col min="5" max="5" width="38" style="3" customWidth="1"/>
    <col min="6" max="6" width="48.25" style="3" customWidth="1"/>
    <col min="7" max="16384" width="9" style="3"/>
  </cols>
  <sheetData>
    <row r="2" spans="1:6" s="2" customFormat="1" ht="75.75" customHeight="1">
      <c r="A2" s="1"/>
      <c r="B2" s="293" t="s">
        <v>0</v>
      </c>
      <c r="C2" s="293"/>
      <c r="D2" s="293"/>
      <c r="E2" s="293"/>
      <c r="F2" s="293"/>
    </row>
    <row r="3" spans="1:6">
      <c r="A3" s="4"/>
      <c r="B3" s="5"/>
      <c r="E3" s="6"/>
    </row>
    <row r="4" spans="1:6" ht="14.25" customHeight="1">
      <c r="A4" s="180" t="s">
        <v>1</v>
      </c>
      <c r="B4" s="294" t="s">
        <v>2</v>
      </c>
      <c r="C4" s="294"/>
      <c r="D4" s="294"/>
      <c r="E4" s="180" t="s">
        <v>3</v>
      </c>
      <c r="F4" s="7"/>
    </row>
    <row r="5" spans="1:6" ht="14.25" customHeight="1">
      <c r="A5" s="180" t="s">
        <v>4</v>
      </c>
      <c r="B5" s="294" t="s">
        <v>5</v>
      </c>
      <c r="C5" s="294"/>
      <c r="D5" s="294"/>
      <c r="E5" s="180" t="s">
        <v>6</v>
      </c>
      <c r="F5" s="7"/>
    </row>
    <row r="6" spans="1:6" ht="15.75" customHeight="1">
      <c r="A6" s="295" t="s">
        <v>7</v>
      </c>
      <c r="B6" s="296" t="str">
        <f>B5&amp;"_"&amp;"XXX"&amp;"_"&amp;"vx.x"</f>
        <v>&lt;Project Code&gt;_XXX_vx.x</v>
      </c>
      <c r="C6" s="296"/>
      <c r="D6" s="296"/>
      <c r="E6" s="180" t="s">
        <v>8</v>
      </c>
      <c r="F6" s="160" t="s">
        <v>9</v>
      </c>
    </row>
    <row r="7" spans="1:6" ht="13.5" customHeight="1">
      <c r="A7" s="295"/>
      <c r="B7" s="296"/>
      <c r="C7" s="296"/>
      <c r="D7" s="296"/>
      <c r="E7" s="180" t="s">
        <v>10</v>
      </c>
      <c r="F7" s="161"/>
    </row>
    <row r="8" spans="1:6">
      <c r="A8" s="181"/>
      <c r="B8" s="8"/>
      <c r="C8" s="9"/>
      <c r="D8" s="9"/>
      <c r="E8" s="10"/>
      <c r="F8" s="11"/>
    </row>
    <row r="9" spans="1:6">
      <c r="A9" s="12"/>
      <c r="B9" s="13"/>
      <c r="C9" s="13"/>
      <c r="D9" s="13"/>
      <c r="E9" s="13"/>
    </row>
    <row r="10" spans="1:6">
      <c r="A10" s="182" t="s">
        <v>11</v>
      </c>
    </row>
    <row r="11" spans="1:6" s="14" customFormat="1">
      <c r="A11" s="15" t="s">
        <v>12</v>
      </c>
      <c r="B11" s="16" t="s">
        <v>10</v>
      </c>
      <c r="C11" s="16" t="s">
        <v>13</v>
      </c>
      <c r="D11" s="16" t="s">
        <v>14</v>
      </c>
      <c r="E11" s="16" t="s">
        <v>15</v>
      </c>
      <c r="F11" s="17" t="s">
        <v>16</v>
      </c>
    </row>
    <row r="12" spans="1:6" s="18" customFormat="1" ht="26.25" customHeight="1">
      <c r="A12" s="162" t="s">
        <v>17</v>
      </c>
      <c r="B12" s="19"/>
      <c r="C12" s="20"/>
      <c r="D12" s="20"/>
      <c r="E12" s="21"/>
      <c r="F12" s="163" t="s">
        <v>18</v>
      </c>
    </row>
    <row r="13" spans="1:6" s="18" customFormat="1" ht="21.75" customHeight="1">
      <c r="A13" s="22"/>
      <c r="B13" s="19"/>
      <c r="C13" s="20"/>
      <c r="D13" s="20"/>
      <c r="E13" s="20"/>
      <c r="F13" s="23"/>
    </row>
    <row r="14" spans="1:6" s="18" customFormat="1" ht="19.5" customHeight="1">
      <c r="A14" s="22"/>
      <c r="B14" s="19"/>
      <c r="C14" s="20"/>
      <c r="D14" s="20"/>
      <c r="E14" s="20"/>
      <c r="F14" s="23"/>
    </row>
    <row r="15" spans="1:6" s="18" customFormat="1" ht="21.75" customHeight="1">
      <c r="A15" s="22"/>
      <c r="B15" s="19"/>
      <c r="C15" s="20"/>
      <c r="D15" s="20"/>
      <c r="E15" s="20"/>
      <c r="F15" s="23"/>
    </row>
    <row r="16" spans="1:6" s="18" customFormat="1" ht="19.5" customHeight="1">
      <c r="A16" s="22"/>
      <c r="B16" s="19"/>
      <c r="C16" s="20"/>
      <c r="D16" s="20"/>
      <c r="E16" s="20"/>
      <c r="F16" s="23"/>
    </row>
    <row r="17" spans="1:6" s="18" customFormat="1" ht="21.75" customHeight="1">
      <c r="A17" s="22"/>
      <c r="B17" s="19"/>
      <c r="C17" s="20"/>
      <c r="D17" s="20"/>
      <c r="E17" s="20"/>
      <c r="F17" s="23"/>
    </row>
    <row r="18" spans="1:6" s="18" customFormat="1" ht="19.5" customHeight="1">
      <c r="A18" s="24"/>
      <c r="B18" s="25"/>
      <c r="C18" s="26"/>
      <c r="D18" s="26"/>
      <c r="E18" s="26"/>
      <c r="F18" s="27"/>
    </row>
  </sheetData>
  <mergeCells count="5">
    <mergeCell ref="B2:F2"/>
    <mergeCell ref="B4:D4"/>
    <mergeCell ref="B5:D5"/>
    <mergeCell ref="A6:A7"/>
    <mergeCell ref="B6:D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topLeftCell="E1" zoomScaleNormal="100" workbookViewId="0">
      <selection activeCell="G28" sqref="G28"/>
    </sheetView>
  </sheetViews>
  <sheetFormatPr defaultRowHeight="12.75"/>
  <cols>
    <col min="1" max="1" width="7.125" style="62" customWidth="1"/>
    <col min="2" max="2" width="14.75" style="62" customWidth="1"/>
    <col min="3" max="3" width="9.875" style="62" bestFit="1" customWidth="1"/>
    <col min="4" max="4" width="12.375" style="30" bestFit="1" customWidth="1"/>
    <col min="5" max="5" width="21" style="31" customWidth="1"/>
    <col min="6" max="6" width="12.375" style="30" customWidth="1"/>
    <col min="7" max="7" width="22.5" style="30" customWidth="1"/>
    <col min="8" max="8" width="33.75" style="30" customWidth="1"/>
    <col min="9" max="16384" width="9" style="6"/>
  </cols>
  <sheetData>
    <row r="2" spans="1:8" ht="25.5">
      <c r="A2" s="29"/>
      <c r="B2" s="29"/>
      <c r="C2" s="29"/>
      <c r="E2" s="32" t="s">
        <v>19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298" t="s">
        <v>1</v>
      </c>
      <c r="B4" s="298"/>
      <c r="C4" s="298"/>
      <c r="D4" s="298"/>
      <c r="E4" s="299" t="str">
        <f>Cover!B4</f>
        <v>&lt;Project Name&gt;</v>
      </c>
      <c r="F4" s="300"/>
      <c r="G4" s="300"/>
      <c r="H4" s="301"/>
    </row>
    <row r="5" spans="1:8" ht="14.25" customHeight="1">
      <c r="A5" s="298" t="s">
        <v>4</v>
      </c>
      <c r="B5" s="298"/>
      <c r="C5" s="298"/>
      <c r="D5" s="298"/>
      <c r="E5" s="299" t="str">
        <f>Cover!B5</f>
        <v>&lt;Project Code&gt;</v>
      </c>
      <c r="F5" s="300"/>
      <c r="G5" s="300"/>
      <c r="H5" s="301"/>
    </row>
    <row r="6" spans="1:8" ht="14.25" customHeight="1">
      <c r="A6" s="305" t="s">
        <v>128</v>
      </c>
      <c r="B6" s="306"/>
      <c r="C6" s="306"/>
      <c r="D6" s="307"/>
      <c r="E6" s="200">
        <v>100</v>
      </c>
      <c r="F6" s="201"/>
      <c r="G6" s="201"/>
      <c r="H6" s="202"/>
    </row>
    <row r="7" spans="1:8" s="35" customFormat="1" ht="12.75" customHeight="1">
      <c r="A7" s="297" t="s">
        <v>20</v>
      </c>
      <c r="B7" s="297"/>
      <c r="C7" s="297"/>
      <c r="D7" s="297"/>
      <c r="E7" s="302" t="s">
        <v>21</v>
      </c>
      <c r="F7" s="303"/>
      <c r="G7" s="303"/>
      <c r="H7" s="304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22</v>
      </c>
      <c r="B10" s="44" t="s">
        <v>23</v>
      </c>
      <c r="C10" s="45" t="s">
        <v>24</v>
      </c>
      <c r="D10" s="46" t="s">
        <v>25</v>
      </c>
      <c r="E10" s="47" t="s">
        <v>153</v>
      </c>
      <c r="F10" s="46" t="s">
        <v>26</v>
      </c>
      <c r="G10" s="48" t="s">
        <v>27</v>
      </c>
      <c r="H10" s="49" t="s">
        <v>28</v>
      </c>
    </row>
    <row r="11" spans="1:8">
      <c r="A11" s="164">
        <v>1</v>
      </c>
      <c r="B11" s="51"/>
      <c r="C11" s="51" t="s">
        <v>29</v>
      </c>
      <c r="D11" s="52" t="s">
        <v>30</v>
      </c>
      <c r="E11" s="53" t="s">
        <v>154</v>
      </c>
      <c r="F11" s="54" t="s">
        <v>154</v>
      </c>
      <c r="G11" s="54"/>
      <c r="H11" s="55"/>
    </row>
    <row r="12" spans="1:8">
      <c r="A12" s="164">
        <v>2</v>
      </c>
      <c r="B12" s="51"/>
      <c r="C12" s="51" t="s">
        <v>121</v>
      </c>
      <c r="D12" s="52" t="s">
        <v>31</v>
      </c>
      <c r="E12" s="53" t="s">
        <v>32</v>
      </c>
      <c r="F12" s="54" t="s">
        <v>32</v>
      </c>
      <c r="G12" s="54"/>
      <c r="H12" s="55"/>
    </row>
    <row r="13" spans="1:8">
      <c r="A13" s="164">
        <v>3</v>
      </c>
      <c r="B13" s="51"/>
      <c r="C13" s="51" t="s">
        <v>122</v>
      </c>
      <c r="D13" s="52" t="s">
        <v>123</v>
      </c>
      <c r="E13" s="53" t="s">
        <v>124</v>
      </c>
      <c r="F13" s="54" t="s">
        <v>124</v>
      </c>
      <c r="G13" s="54"/>
      <c r="H13" s="55"/>
    </row>
    <row r="14" spans="1:8">
      <c r="A14" s="164"/>
      <c r="B14" s="51"/>
      <c r="C14" s="51"/>
      <c r="D14" s="52"/>
      <c r="E14" s="53"/>
      <c r="F14" s="54"/>
      <c r="G14" s="54"/>
      <c r="H14" s="55"/>
    </row>
    <row r="15" spans="1:8">
      <c r="A15" s="164"/>
      <c r="B15" s="51"/>
      <c r="C15" s="51"/>
      <c r="D15" s="52"/>
      <c r="E15" s="53"/>
      <c r="F15" s="54"/>
      <c r="G15" s="54"/>
      <c r="H15" s="55"/>
    </row>
    <row r="16" spans="1:8">
      <c r="A16" s="164"/>
      <c r="B16" s="51"/>
      <c r="C16" s="51"/>
      <c r="D16" s="52"/>
      <c r="E16" s="53"/>
      <c r="F16" s="56"/>
      <c r="G16" s="56"/>
      <c r="H16" s="55"/>
    </row>
    <row r="17" spans="1:8">
      <c r="A17" s="164"/>
      <c r="B17" s="51"/>
      <c r="C17" s="51"/>
      <c r="D17" s="52"/>
      <c r="E17" s="53"/>
      <c r="F17" s="56"/>
      <c r="G17" s="56"/>
      <c r="H17" s="55"/>
    </row>
    <row r="18" spans="1:8">
      <c r="A18" s="164"/>
      <c r="B18" s="51"/>
      <c r="C18" s="51"/>
      <c r="D18" s="52"/>
      <c r="E18" s="53"/>
      <c r="F18" s="56"/>
      <c r="G18" s="56"/>
      <c r="H18" s="55"/>
    </row>
    <row r="19" spans="1:8">
      <c r="A19" s="164"/>
      <c r="B19" s="51"/>
      <c r="C19" s="51"/>
      <c r="D19" s="52"/>
      <c r="E19" s="53"/>
      <c r="F19" s="56"/>
      <c r="G19" s="56"/>
      <c r="H19" s="55"/>
    </row>
    <row r="20" spans="1:8">
      <c r="A20" s="164"/>
      <c r="B20" s="51"/>
      <c r="C20" s="51"/>
      <c r="D20" s="52"/>
      <c r="E20" s="53"/>
      <c r="F20" s="56"/>
      <c r="G20" s="56"/>
      <c r="H20" s="55"/>
    </row>
    <row r="21" spans="1:8">
      <c r="A21" s="164"/>
      <c r="B21" s="51"/>
      <c r="C21" s="51"/>
      <c r="D21" s="52"/>
      <c r="E21" s="53"/>
      <c r="F21" s="56"/>
      <c r="G21" s="56"/>
      <c r="H21" s="55"/>
    </row>
    <row r="22" spans="1:8">
      <c r="A22" s="164"/>
      <c r="B22" s="51"/>
      <c r="C22" s="51"/>
      <c r="D22" s="52"/>
      <c r="E22" s="53"/>
      <c r="F22" s="56"/>
      <c r="G22" s="56"/>
      <c r="H22" s="55"/>
    </row>
    <row r="23" spans="1:8">
      <c r="A23" s="165"/>
      <c r="B23" s="57"/>
      <c r="C23" s="57"/>
      <c r="D23" s="58"/>
      <c r="E23" s="59"/>
      <c r="F23" s="60"/>
      <c r="G23" s="60"/>
      <c r="H23" s="61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/>
    <hyperlink ref="F12" location="Function2!A1" display="Function2"/>
    <hyperlink ref="F13" location="Function3!A1" display="Function3"/>
  </hyperlinks>
  <pageMargins left="0.65" right="0.65" top="0.75" bottom="0.75" header="0.5" footer="0.5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opLeftCell="A15" workbookViewId="0">
      <selection activeCell="G42" sqref="G42"/>
    </sheetView>
  </sheetViews>
  <sheetFormatPr defaultRowHeight="12.75"/>
  <cols>
    <col min="1" max="1" width="15.375" style="6" customWidth="1"/>
    <col min="2" max="2" width="26.625" style="6" customWidth="1"/>
    <col min="3" max="3" width="12.125" style="6" customWidth="1"/>
    <col min="4" max="4" width="9.625" style="6" customWidth="1"/>
    <col min="5" max="5" width="9.75" style="6" customWidth="1"/>
    <col min="6" max="8" width="5.25" style="6" customWidth="1"/>
    <col min="9" max="9" width="21" style="6" customWidth="1"/>
    <col min="10" max="10" width="33.125" style="6" customWidth="1"/>
    <col min="11" max="16384" width="9" style="6"/>
  </cols>
  <sheetData>
    <row r="2" spans="1:9" ht="25.5" customHeight="1">
      <c r="A2" s="314" t="s">
        <v>33</v>
      </c>
      <c r="B2" s="314"/>
      <c r="C2" s="314"/>
      <c r="D2" s="314"/>
      <c r="E2" s="314"/>
      <c r="F2" s="314"/>
      <c r="G2" s="314"/>
      <c r="H2" s="314"/>
      <c r="I2" s="314"/>
    </row>
    <row r="3" spans="1:9" ht="14.25" customHeight="1">
      <c r="A3" s="63"/>
      <c r="B3" s="64"/>
      <c r="C3" s="64"/>
      <c r="D3" s="64"/>
      <c r="E3" s="64"/>
      <c r="F3" s="64"/>
      <c r="G3" s="64"/>
      <c r="H3" s="64"/>
      <c r="I3" s="65"/>
    </row>
    <row r="4" spans="1:9" ht="13.5" customHeight="1">
      <c r="A4" s="199" t="s">
        <v>1</v>
      </c>
      <c r="B4" s="311" t="str">
        <f>Cover!B4</f>
        <v>&lt;Project Name&gt;</v>
      </c>
      <c r="C4" s="311"/>
      <c r="D4" s="312" t="s">
        <v>3</v>
      </c>
      <c r="E4" s="312"/>
      <c r="F4" s="315"/>
      <c r="G4" s="316"/>
      <c r="H4" s="316"/>
      <c r="I4" s="317"/>
    </row>
    <row r="5" spans="1:9" ht="13.5" customHeight="1">
      <c r="A5" s="199" t="s">
        <v>4</v>
      </c>
      <c r="B5" s="311" t="str">
        <f>Cover!B5</f>
        <v>&lt;Project Code&gt;</v>
      </c>
      <c r="C5" s="311"/>
      <c r="D5" s="312" t="s">
        <v>6</v>
      </c>
      <c r="E5" s="312"/>
      <c r="F5" s="315"/>
      <c r="G5" s="316"/>
      <c r="H5" s="316"/>
      <c r="I5" s="317"/>
    </row>
    <row r="6" spans="1:9" ht="12.75" customHeight="1">
      <c r="A6" s="203" t="s">
        <v>7</v>
      </c>
      <c r="B6" s="311" t="str">
        <f>B5&amp;"_"&amp;"Test Report"&amp;"_"&amp;"vx.x"</f>
        <v>&lt;Project Code&gt;_Test Report_vx.x</v>
      </c>
      <c r="C6" s="311"/>
      <c r="D6" s="312" t="s">
        <v>8</v>
      </c>
      <c r="E6" s="312"/>
      <c r="F6" s="308" t="s">
        <v>9</v>
      </c>
      <c r="G6" s="309"/>
      <c r="H6" s="309"/>
      <c r="I6" s="310"/>
    </row>
    <row r="7" spans="1:9" ht="15.75" customHeight="1">
      <c r="A7" s="203" t="s">
        <v>34</v>
      </c>
      <c r="B7" s="313" t="s">
        <v>35</v>
      </c>
      <c r="C7" s="313"/>
      <c r="D7" s="313"/>
      <c r="E7" s="313"/>
      <c r="F7" s="313"/>
      <c r="G7" s="313"/>
      <c r="H7" s="313"/>
      <c r="I7" s="313"/>
    </row>
    <row r="8" spans="1:9" ht="14.25" customHeight="1">
      <c r="A8" s="66"/>
      <c r="B8" s="67"/>
      <c r="C8" s="64"/>
      <c r="D8" s="64"/>
      <c r="E8" s="64"/>
      <c r="F8" s="64"/>
      <c r="G8" s="64"/>
      <c r="H8" s="64"/>
      <c r="I8" s="65"/>
    </row>
    <row r="9" spans="1:9">
      <c r="A9" s="66"/>
      <c r="B9" s="67"/>
      <c r="C9" s="64"/>
      <c r="D9" s="64"/>
      <c r="E9" s="64"/>
      <c r="F9" s="64"/>
      <c r="G9" s="64"/>
      <c r="H9" s="64"/>
      <c r="I9" s="65"/>
    </row>
    <row r="10" spans="1:9">
      <c r="A10" s="68"/>
      <c r="B10" s="68"/>
      <c r="C10" s="68"/>
      <c r="D10" s="68"/>
      <c r="E10" s="68"/>
      <c r="F10" s="68"/>
      <c r="G10" s="68"/>
      <c r="H10" s="68"/>
      <c r="I10" s="68"/>
    </row>
    <row r="11" spans="1:9" ht="14.25" customHeight="1">
      <c r="A11" s="69" t="s">
        <v>22</v>
      </c>
      <c r="B11" s="70" t="s">
        <v>177</v>
      </c>
      <c r="C11" s="71" t="s">
        <v>36</v>
      </c>
      <c r="D11" s="70" t="s">
        <v>37</v>
      </c>
      <c r="E11" s="72" t="s">
        <v>38</v>
      </c>
      <c r="F11" s="72" t="s">
        <v>72</v>
      </c>
      <c r="G11" s="72" t="s">
        <v>74</v>
      </c>
      <c r="H11" s="72" t="s">
        <v>73</v>
      </c>
      <c r="I11" s="73" t="s">
        <v>39</v>
      </c>
    </row>
    <row r="12" spans="1:9">
      <c r="A12" s="74">
        <v>1</v>
      </c>
      <c r="B12" s="185" t="s">
        <v>154</v>
      </c>
      <c r="C12" s="75">
        <f>Function1!A7</f>
        <v>12</v>
      </c>
      <c r="D12" s="75">
        <f>Function1!C7</f>
        <v>2</v>
      </c>
      <c r="E12" s="75">
        <f>Function1!F7</f>
        <v>1</v>
      </c>
      <c r="F12" s="76">
        <f>Function1!L7</f>
        <v>11</v>
      </c>
      <c r="G12" s="75">
        <f>Function1!M7</f>
        <v>3</v>
      </c>
      <c r="H12" s="75">
        <f>Function1!N7</f>
        <v>1</v>
      </c>
      <c r="I12" s="75">
        <f>Function1!O7</f>
        <v>15</v>
      </c>
    </row>
    <row r="13" spans="1:9">
      <c r="A13" s="74">
        <v>2</v>
      </c>
      <c r="B13" s="185" t="s">
        <v>32</v>
      </c>
      <c r="C13" s="75">
        <f>Function2!A7</f>
        <v>12</v>
      </c>
      <c r="D13" s="75">
        <f>Function2!C7</f>
        <v>3</v>
      </c>
      <c r="E13" s="75">
        <f>Function2!F7</f>
        <v>0</v>
      </c>
      <c r="F13" s="76">
        <f>Function2!L7</f>
        <v>12</v>
      </c>
      <c r="G13" s="75">
        <f>Function2!M7</f>
        <v>2</v>
      </c>
      <c r="H13" s="75">
        <f>Function2!N7</f>
        <v>1</v>
      </c>
      <c r="I13" s="75">
        <f>Function2!O7</f>
        <v>15</v>
      </c>
    </row>
    <row r="14" spans="1:9">
      <c r="A14" s="74">
        <v>3</v>
      </c>
      <c r="B14" s="185" t="s">
        <v>124</v>
      </c>
      <c r="C14" s="75">
        <f>Function3!A7</f>
        <v>12</v>
      </c>
      <c r="D14" s="75">
        <f>Function3!C7</f>
        <v>2</v>
      </c>
      <c r="E14" s="75">
        <f>Function3!F7</f>
        <v>1</v>
      </c>
      <c r="F14" s="76">
        <f>Function3!L7</f>
        <v>12</v>
      </c>
      <c r="G14" s="75">
        <f>Function3!M7</f>
        <v>2</v>
      </c>
      <c r="H14" s="75">
        <f>Function3!N7</f>
        <v>1</v>
      </c>
      <c r="I14" s="75">
        <f>Function3!O7</f>
        <v>15</v>
      </c>
    </row>
    <row r="15" spans="1:9" ht="14.25">
      <c r="A15" s="74"/>
      <c r="B15" s="183"/>
      <c r="C15" s="75"/>
      <c r="D15" s="75"/>
      <c r="E15" s="75"/>
      <c r="F15" s="76"/>
      <c r="G15" s="75"/>
      <c r="H15" s="75"/>
      <c r="I15" s="75"/>
    </row>
    <row r="16" spans="1:9" ht="14.25">
      <c r="A16" s="74"/>
      <c r="B16" s="183"/>
      <c r="C16" s="75"/>
      <c r="D16" s="75"/>
      <c r="E16" s="75"/>
      <c r="F16" s="76"/>
      <c r="G16" s="75"/>
      <c r="H16" s="75"/>
      <c r="I16" s="75"/>
    </row>
    <row r="17" spans="1:9" ht="14.25">
      <c r="A17" s="77"/>
      <c r="B17" s="184" t="s">
        <v>40</v>
      </c>
      <c r="C17" s="78">
        <f t="shared" ref="C17:I17" si="0">SUM(C10:C16)</f>
        <v>36</v>
      </c>
      <c r="D17" s="78">
        <f t="shared" si="0"/>
        <v>7</v>
      </c>
      <c r="E17" s="78">
        <f t="shared" si="0"/>
        <v>2</v>
      </c>
      <c r="F17" s="78">
        <f t="shared" si="0"/>
        <v>35</v>
      </c>
      <c r="G17" s="78">
        <f t="shared" si="0"/>
        <v>7</v>
      </c>
      <c r="H17" s="78">
        <f t="shared" si="0"/>
        <v>3</v>
      </c>
      <c r="I17" s="78">
        <f t="shared" si="0"/>
        <v>45</v>
      </c>
    </row>
    <row r="18" spans="1:9">
      <c r="A18" s="79"/>
      <c r="B18" s="68"/>
      <c r="C18" s="80"/>
      <c r="D18" s="81"/>
      <c r="E18" s="81"/>
      <c r="F18" s="81"/>
      <c r="G18" s="81"/>
      <c r="H18" s="81"/>
      <c r="I18" s="81"/>
    </row>
    <row r="19" spans="1:9">
      <c r="A19" s="68"/>
      <c r="B19" s="204" t="s">
        <v>41</v>
      </c>
      <c r="C19" s="68"/>
      <c r="D19" s="205">
        <f>(C17+D17)*100/(I17)</f>
        <v>95.555555555555557</v>
      </c>
      <c r="E19" s="68" t="s">
        <v>42</v>
      </c>
      <c r="F19" s="68"/>
      <c r="G19" s="68"/>
      <c r="H19" s="68"/>
      <c r="I19" s="82"/>
    </row>
    <row r="20" spans="1:9">
      <c r="A20" s="68"/>
      <c r="B20" s="204" t="s">
        <v>43</v>
      </c>
      <c r="C20" s="68"/>
      <c r="D20" s="205">
        <f>C17*100/(I17)</f>
        <v>80</v>
      </c>
      <c r="E20" s="68" t="s">
        <v>42</v>
      </c>
      <c r="F20" s="68"/>
      <c r="G20" s="68"/>
      <c r="H20" s="68"/>
      <c r="I20" s="82"/>
    </row>
    <row r="21" spans="1:9">
      <c r="B21" s="204" t="s">
        <v>44</v>
      </c>
      <c r="C21" s="68"/>
      <c r="D21" s="205">
        <f>F17*100/I17</f>
        <v>77.777777777777771</v>
      </c>
      <c r="E21" s="68" t="s">
        <v>42</v>
      </c>
    </row>
    <row r="22" spans="1:9">
      <c r="B22" s="204" t="s">
        <v>45</v>
      </c>
      <c r="D22" s="205">
        <f>G17*100/I17</f>
        <v>15.555555555555555</v>
      </c>
      <c r="E22" s="68" t="s">
        <v>42</v>
      </c>
    </row>
    <row r="23" spans="1:9">
      <c r="B23" s="204" t="s">
        <v>46</v>
      </c>
      <c r="D23" s="205">
        <f>H17*100/I17</f>
        <v>6.666666666666667</v>
      </c>
      <c r="E23" s="68" t="s">
        <v>42</v>
      </c>
    </row>
  </sheetData>
  <mergeCells count="11">
    <mergeCell ref="F5:I5"/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</mergeCells>
  <phoneticPr fontId="0" type="noConversion"/>
  <hyperlinks>
    <hyperlink ref="B12" location="Function1!A1" display="Function1"/>
    <hyperlink ref="B13" location="Function2!A1" display="Function2"/>
    <hyperlink ref="B14" location="Function2!A1" display="Function2"/>
  </hyperlinks>
  <pageMargins left="0.65" right="0.65" top="0.75" bottom="0.75" header="0.5" footer="0.5"/>
  <pageSetup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topLeftCell="A7" workbookViewId="0">
      <selection activeCell="D36" sqref="D36"/>
    </sheetView>
  </sheetViews>
  <sheetFormatPr defaultRowHeight="13.5" customHeight="1"/>
  <cols>
    <col min="1" max="1" width="8.125" style="85" customWidth="1"/>
    <col min="2" max="2" width="13.375" style="89" customWidth="1"/>
    <col min="3" max="3" width="10.75" style="85" customWidth="1"/>
    <col min="4" max="4" width="11.375" style="86" customWidth="1"/>
    <col min="5" max="5" width="1.75" style="85" hidden="1" customWidth="1"/>
    <col min="6" max="7" width="2.875" style="85" bestFit="1" customWidth="1"/>
    <col min="8" max="8" width="2.875" style="85" customWidth="1"/>
    <col min="9" max="10" width="2.875" style="85" bestFit="1" customWidth="1"/>
    <col min="11" max="19" width="2.875" style="85" customWidth="1"/>
    <col min="20" max="20" width="2.875" style="85" bestFit="1" customWidth="1"/>
    <col min="21" max="21" width="2.87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49" t="s">
        <v>106</v>
      </c>
      <c r="B2" s="350"/>
      <c r="C2" s="351" t="str">
        <f>FunctionList!E11</f>
        <v>Function1</v>
      </c>
      <c r="D2" s="352"/>
      <c r="E2" s="353"/>
      <c r="F2" s="354" t="s">
        <v>25</v>
      </c>
      <c r="G2" s="355"/>
      <c r="H2" s="355"/>
      <c r="I2" s="355"/>
      <c r="J2" s="355"/>
      <c r="K2" s="355"/>
      <c r="L2" s="321" t="str">
        <f>FunctionList!D11</f>
        <v>Function A</v>
      </c>
      <c r="M2" s="322"/>
      <c r="N2" s="322"/>
      <c r="O2" s="322"/>
      <c r="P2" s="322"/>
      <c r="Q2" s="322"/>
      <c r="R2" s="322"/>
      <c r="S2" s="322"/>
      <c r="T2" s="323"/>
      <c r="V2" s="87"/>
    </row>
    <row r="3" spans="1:23" ht="13.5" customHeight="1">
      <c r="A3" s="342" t="s">
        <v>107</v>
      </c>
      <c r="B3" s="343"/>
      <c r="C3" s="337" t="s">
        <v>47</v>
      </c>
      <c r="D3" s="324"/>
      <c r="E3" s="338"/>
      <c r="F3" s="327" t="s">
        <v>108</v>
      </c>
      <c r="G3" s="328"/>
      <c r="H3" s="328"/>
      <c r="I3" s="328"/>
      <c r="J3" s="328"/>
      <c r="K3" s="329"/>
      <c r="L3" s="324"/>
      <c r="M3" s="324"/>
      <c r="N3" s="324"/>
      <c r="O3" s="192"/>
      <c r="P3" s="192"/>
      <c r="Q3" s="192"/>
      <c r="R3" s="192"/>
      <c r="S3" s="192"/>
      <c r="T3" s="193"/>
    </row>
    <row r="4" spans="1:23" ht="13.5" customHeight="1">
      <c r="A4" s="342" t="s">
        <v>109</v>
      </c>
      <c r="B4" s="343"/>
      <c r="C4" s="361">
        <v>100</v>
      </c>
      <c r="D4" s="362"/>
      <c r="E4" s="206"/>
      <c r="F4" s="327" t="s">
        <v>110</v>
      </c>
      <c r="G4" s="328"/>
      <c r="H4" s="328"/>
      <c r="I4" s="328"/>
      <c r="J4" s="328"/>
      <c r="K4" s="329"/>
      <c r="L4" s="330">
        <f xml:space="preserve"> IF(FunctionList!E6&lt;&gt;"N/A",SUM(C4*FunctionList!E6/1000,- O7),"N/A")</f>
        <v>-5</v>
      </c>
      <c r="M4" s="331"/>
      <c r="N4" s="331"/>
      <c r="O4" s="331"/>
      <c r="P4" s="331"/>
      <c r="Q4" s="331"/>
      <c r="R4" s="331"/>
      <c r="S4" s="331"/>
      <c r="T4" s="332"/>
      <c r="V4" s="87"/>
    </row>
    <row r="5" spans="1:23" ht="13.5" customHeight="1">
      <c r="A5" s="342" t="s">
        <v>111</v>
      </c>
      <c r="B5" s="343"/>
      <c r="C5" s="344" t="s">
        <v>105</v>
      </c>
      <c r="D5" s="344"/>
      <c r="E5" s="344"/>
      <c r="F5" s="345"/>
      <c r="G5" s="345"/>
      <c r="H5" s="345"/>
      <c r="I5" s="345"/>
      <c r="J5" s="345"/>
      <c r="K5" s="345"/>
      <c r="L5" s="344"/>
      <c r="M5" s="344"/>
      <c r="N5" s="344"/>
      <c r="O5" s="344"/>
      <c r="P5" s="344"/>
      <c r="Q5" s="344"/>
      <c r="R5" s="344"/>
      <c r="S5" s="344"/>
      <c r="T5" s="344"/>
    </row>
    <row r="6" spans="1:23" ht="13.5" customHeight="1">
      <c r="A6" s="340" t="s">
        <v>36</v>
      </c>
      <c r="B6" s="341"/>
      <c r="C6" s="325" t="s">
        <v>37</v>
      </c>
      <c r="D6" s="319"/>
      <c r="E6" s="326"/>
      <c r="F6" s="325" t="s">
        <v>38</v>
      </c>
      <c r="G6" s="319"/>
      <c r="H6" s="319"/>
      <c r="I6" s="319"/>
      <c r="J6" s="319"/>
      <c r="K6" s="333"/>
      <c r="L6" s="319" t="s">
        <v>112</v>
      </c>
      <c r="M6" s="319"/>
      <c r="N6" s="319"/>
      <c r="O6" s="318" t="s">
        <v>39</v>
      </c>
      <c r="P6" s="319"/>
      <c r="Q6" s="319"/>
      <c r="R6" s="319"/>
      <c r="S6" s="319"/>
      <c r="T6" s="320"/>
      <c r="V6" s="87"/>
    </row>
    <row r="7" spans="1:23" ht="13.5" customHeight="1" thickBot="1">
      <c r="A7" s="360">
        <f>COUNTIF(F40:HQ40,"P")</f>
        <v>12</v>
      </c>
      <c r="B7" s="359"/>
      <c r="C7" s="357">
        <f>COUNTIF(F40:HQ40,"F")</f>
        <v>2</v>
      </c>
      <c r="D7" s="347"/>
      <c r="E7" s="359"/>
      <c r="F7" s="357">
        <f>SUM(O7,- A7,- C7)</f>
        <v>1</v>
      </c>
      <c r="G7" s="347"/>
      <c r="H7" s="347"/>
      <c r="I7" s="347"/>
      <c r="J7" s="347"/>
      <c r="K7" s="358"/>
      <c r="L7" s="194">
        <f>COUNTIF(E39:HQ39,"N")</f>
        <v>11</v>
      </c>
      <c r="M7" s="194">
        <f>COUNTIF(E39:HQ39,"A")</f>
        <v>3</v>
      </c>
      <c r="N7" s="194">
        <f>COUNTIF(E39:HQ39,"B")</f>
        <v>1</v>
      </c>
      <c r="O7" s="346">
        <f>COUNTA(E9:HT9)</f>
        <v>15</v>
      </c>
      <c r="P7" s="347"/>
      <c r="Q7" s="347"/>
      <c r="R7" s="347"/>
      <c r="S7" s="347"/>
      <c r="T7" s="348"/>
      <c r="U7" s="88"/>
    </row>
    <row r="8" spans="1:23" ht="11.25" thickBot="1"/>
    <row r="9" spans="1:23" ht="46.5" customHeight="1" thickTop="1" thickBot="1">
      <c r="A9" s="254"/>
      <c r="B9" s="255"/>
      <c r="C9" s="256"/>
      <c r="D9" s="257"/>
      <c r="E9" s="256"/>
      <c r="F9" s="258" t="s">
        <v>48</v>
      </c>
      <c r="G9" s="258" t="s">
        <v>49</v>
      </c>
      <c r="H9" s="258" t="s">
        <v>50</v>
      </c>
      <c r="I9" s="258" t="s">
        <v>51</v>
      </c>
      <c r="J9" s="258" t="s">
        <v>52</v>
      </c>
      <c r="K9" s="258" t="s">
        <v>53</v>
      </c>
      <c r="L9" s="258" t="s">
        <v>54</v>
      </c>
      <c r="M9" s="258" t="s">
        <v>55</v>
      </c>
      <c r="N9" s="258" t="s">
        <v>56</v>
      </c>
      <c r="O9" s="258" t="s">
        <v>57</v>
      </c>
      <c r="P9" s="258" t="s">
        <v>58</v>
      </c>
      <c r="Q9" s="258" t="s">
        <v>59</v>
      </c>
      <c r="R9" s="258" t="s">
        <v>60</v>
      </c>
      <c r="S9" s="258" t="s">
        <v>61</v>
      </c>
      <c r="T9" s="259" t="s">
        <v>62</v>
      </c>
      <c r="U9" s="90"/>
      <c r="V9" s="91"/>
      <c r="W9" s="92"/>
    </row>
    <row r="10" spans="1:23" ht="13.5" customHeight="1">
      <c r="A10" s="235" t="s">
        <v>113</v>
      </c>
      <c r="B10" s="236" t="s">
        <v>114</v>
      </c>
      <c r="C10" s="237"/>
      <c r="D10" s="238"/>
      <c r="E10" s="98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223"/>
    </row>
    <row r="11" spans="1:23" ht="13.5" customHeight="1">
      <c r="A11" s="221"/>
      <c r="B11" s="93"/>
      <c r="C11" s="94"/>
      <c r="D11" s="95" t="s">
        <v>63</v>
      </c>
      <c r="E11" s="98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220"/>
      <c r="V11" s="87"/>
    </row>
    <row r="12" spans="1:23" ht="13.5" customHeight="1">
      <c r="A12" s="221"/>
      <c r="B12" s="93"/>
      <c r="C12" s="94"/>
      <c r="D12" s="95"/>
      <c r="E12" s="98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220"/>
    </row>
    <row r="13" spans="1:23" ht="13.5" customHeight="1">
      <c r="A13" s="221"/>
      <c r="B13" s="93"/>
      <c r="C13" s="94"/>
      <c r="D13" s="95"/>
      <c r="E13" s="99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220"/>
    </row>
    <row r="14" spans="1:23" ht="13.5" customHeight="1">
      <c r="A14" s="221"/>
      <c r="B14" s="93" t="s">
        <v>180</v>
      </c>
      <c r="C14" s="94"/>
      <c r="D14" s="95"/>
      <c r="E14" s="100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220"/>
    </row>
    <row r="15" spans="1:23" ht="13.5" customHeight="1">
      <c r="A15" s="221"/>
      <c r="B15" s="93"/>
      <c r="C15" s="94"/>
      <c r="D15" s="95">
        <v>29</v>
      </c>
      <c r="E15" s="100"/>
      <c r="F15" s="186" t="s">
        <v>148</v>
      </c>
      <c r="G15" s="186" t="s">
        <v>148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220"/>
    </row>
    <row r="16" spans="1:23" ht="13.5" customHeight="1">
      <c r="A16" s="221"/>
      <c r="B16" s="93"/>
      <c r="C16" s="94"/>
      <c r="D16" s="95">
        <v>30</v>
      </c>
      <c r="E16" s="100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220"/>
    </row>
    <row r="17" spans="1:21" ht="13.5" customHeight="1">
      <c r="A17" s="221"/>
      <c r="B17" s="93"/>
      <c r="C17" s="94"/>
      <c r="D17" s="95">
        <v>31</v>
      </c>
      <c r="E17" s="100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220"/>
      <c r="U17" s="187"/>
    </row>
    <row r="18" spans="1:21" ht="13.5" customHeight="1">
      <c r="A18" s="221"/>
      <c r="B18" s="93" t="s">
        <v>181</v>
      </c>
      <c r="C18" s="94"/>
      <c r="D18" s="95"/>
      <c r="E18" s="100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220"/>
      <c r="U18" s="187"/>
    </row>
    <row r="19" spans="1:21" ht="13.5" customHeight="1">
      <c r="A19" s="221"/>
      <c r="B19" s="93"/>
      <c r="C19" s="94"/>
      <c r="D19" s="339">
        <v>2</v>
      </c>
      <c r="E19" s="339"/>
      <c r="F19" s="186" t="s">
        <v>148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220"/>
    </row>
    <row r="20" spans="1:21" ht="13.5" customHeight="1">
      <c r="A20" s="221"/>
      <c r="B20" s="93"/>
      <c r="C20" s="94"/>
      <c r="D20" s="95">
        <v>3</v>
      </c>
      <c r="E20" s="100"/>
      <c r="F20" s="186"/>
      <c r="G20" s="186" t="s">
        <v>148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220"/>
    </row>
    <row r="21" spans="1:21" ht="13.5" customHeight="1">
      <c r="A21" s="221"/>
      <c r="B21" s="93"/>
      <c r="C21" s="94"/>
      <c r="D21" s="95">
        <v>4</v>
      </c>
      <c r="E21" s="100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220"/>
    </row>
    <row r="22" spans="1:21" ht="13.5" customHeight="1">
      <c r="A22" s="221"/>
      <c r="B22" s="93" t="s">
        <v>182</v>
      </c>
      <c r="C22" s="94"/>
      <c r="D22" s="95"/>
      <c r="E22" s="100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220"/>
    </row>
    <row r="23" spans="1:21" ht="13.5" customHeight="1">
      <c r="A23" s="221"/>
      <c r="B23" s="93"/>
      <c r="C23" s="94"/>
      <c r="D23" s="95">
        <v>2000</v>
      </c>
      <c r="E23" s="100"/>
      <c r="F23" s="186" t="s">
        <v>148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220"/>
    </row>
    <row r="24" spans="1:21" ht="13.5" customHeight="1">
      <c r="A24" s="221"/>
      <c r="B24" s="93"/>
      <c r="C24" s="94"/>
      <c r="D24" s="95">
        <v>2009</v>
      </c>
      <c r="E24" s="100"/>
      <c r="F24" s="186"/>
      <c r="G24" s="186" t="s">
        <v>148</v>
      </c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220"/>
    </row>
    <row r="25" spans="1:21" ht="13.5" customHeight="1">
      <c r="A25" s="221"/>
      <c r="B25" s="93"/>
      <c r="C25" s="94"/>
      <c r="D25" s="95"/>
      <c r="E25" s="100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220"/>
    </row>
    <row r="26" spans="1:21" ht="13.5" customHeight="1">
      <c r="A26" s="221"/>
      <c r="B26" s="93"/>
      <c r="C26" s="94"/>
      <c r="D26" s="95"/>
      <c r="E26" s="100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220"/>
    </row>
    <row r="27" spans="1:21" ht="13.5" customHeight="1">
      <c r="A27" s="221"/>
      <c r="B27" s="93"/>
      <c r="C27" s="94"/>
      <c r="D27" s="95"/>
      <c r="E27" s="100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220"/>
    </row>
    <row r="28" spans="1:21" ht="13.5" customHeight="1">
      <c r="A28" s="221"/>
      <c r="B28" s="93"/>
      <c r="C28" s="94"/>
      <c r="D28" s="95"/>
      <c r="E28" s="100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220"/>
    </row>
    <row r="29" spans="1:21" ht="13.5" customHeight="1">
      <c r="A29" s="221"/>
      <c r="B29" s="93"/>
      <c r="C29" s="94"/>
      <c r="D29" s="95"/>
      <c r="E29" s="100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220"/>
    </row>
    <row r="30" spans="1:21" ht="13.5" customHeight="1" thickBot="1">
      <c r="A30" s="221"/>
      <c r="B30" s="102"/>
      <c r="C30" s="103"/>
      <c r="D30" s="104"/>
      <c r="E30" s="105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222"/>
    </row>
    <row r="31" spans="1:21" ht="13.5" customHeight="1" thickTop="1">
      <c r="A31" s="234" t="s">
        <v>117</v>
      </c>
      <c r="B31" s="107" t="s">
        <v>118</v>
      </c>
      <c r="C31" s="108"/>
      <c r="D31" s="109"/>
      <c r="E31" s="110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223"/>
    </row>
    <row r="32" spans="1:21" ht="13.5" customHeight="1">
      <c r="A32" s="233"/>
      <c r="B32" s="112"/>
      <c r="C32" s="113"/>
      <c r="D32" s="114" t="s">
        <v>183</v>
      </c>
      <c r="E32" s="115"/>
      <c r="F32" s="186" t="s">
        <v>148</v>
      </c>
      <c r="G32" s="186" t="s">
        <v>148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220"/>
    </row>
    <row r="33" spans="1:20" ht="13.5" customHeight="1">
      <c r="A33" s="233"/>
      <c r="B33" s="112"/>
      <c r="C33" s="190"/>
      <c r="D33" s="114" t="s">
        <v>77</v>
      </c>
      <c r="E33" s="117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20"/>
    </row>
    <row r="34" spans="1:20" ht="13.5" customHeight="1">
      <c r="A34" s="233"/>
      <c r="B34" s="112" t="s">
        <v>119</v>
      </c>
      <c r="C34" s="190"/>
      <c r="D34" s="114"/>
      <c r="E34" s="117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220"/>
    </row>
    <row r="35" spans="1:20" ht="13.5" customHeight="1">
      <c r="A35" s="233"/>
      <c r="B35" s="112"/>
      <c r="C35" s="190"/>
      <c r="D35" s="114"/>
      <c r="E35" s="117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220"/>
    </row>
    <row r="36" spans="1:20" ht="13.5" customHeight="1">
      <c r="A36" s="233"/>
      <c r="B36" s="112" t="s">
        <v>120</v>
      </c>
      <c r="C36" s="190"/>
      <c r="D36" s="114"/>
      <c r="E36" s="117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220"/>
    </row>
    <row r="37" spans="1:20" ht="13.5" customHeight="1">
      <c r="A37" s="233"/>
      <c r="B37" s="112"/>
      <c r="C37" s="190"/>
      <c r="D37" s="114" t="s">
        <v>68</v>
      </c>
      <c r="E37" s="117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220"/>
    </row>
    <row r="38" spans="1:20" ht="13.5" customHeight="1" thickBot="1">
      <c r="A38" s="233"/>
      <c r="B38" s="207"/>
      <c r="C38" s="208"/>
      <c r="D38" s="209" t="s">
        <v>69</v>
      </c>
      <c r="E38" s="21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24"/>
    </row>
    <row r="39" spans="1:20" ht="13.5" customHeight="1" thickTop="1">
      <c r="A39" s="234" t="s">
        <v>70</v>
      </c>
      <c r="B39" s="336" t="s">
        <v>71</v>
      </c>
      <c r="C39" s="336"/>
      <c r="D39" s="336"/>
      <c r="E39" s="212"/>
      <c r="F39" s="213" t="s">
        <v>74</v>
      </c>
      <c r="G39" s="213" t="s">
        <v>72</v>
      </c>
      <c r="H39" s="213" t="s">
        <v>72</v>
      </c>
      <c r="I39" s="213" t="s">
        <v>72</v>
      </c>
      <c r="J39" s="213" t="s">
        <v>72</v>
      </c>
      <c r="K39" s="213" t="s">
        <v>73</v>
      </c>
      <c r="L39" s="213" t="s">
        <v>74</v>
      </c>
      <c r="M39" s="213" t="s">
        <v>72</v>
      </c>
      <c r="N39" s="213" t="s">
        <v>72</v>
      </c>
      <c r="O39" s="213" t="s">
        <v>72</v>
      </c>
      <c r="P39" s="213" t="s">
        <v>72</v>
      </c>
      <c r="Q39" s="213" t="s">
        <v>72</v>
      </c>
      <c r="R39" s="213" t="s">
        <v>74</v>
      </c>
      <c r="S39" s="213" t="s">
        <v>72</v>
      </c>
      <c r="T39" s="225" t="s">
        <v>72</v>
      </c>
    </row>
    <row r="40" spans="1:20" ht="13.5" customHeight="1">
      <c r="A40" s="233"/>
      <c r="B40" s="356" t="s">
        <v>75</v>
      </c>
      <c r="C40" s="356"/>
      <c r="D40" s="356"/>
      <c r="E40" s="119"/>
      <c r="F40" s="191" t="s">
        <v>76</v>
      </c>
      <c r="G40" s="191" t="s">
        <v>76</v>
      </c>
      <c r="H40" s="191" t="s">
        <v>76</v>
      </c>
      <c r="I40" s="191" t="s">
        <v>76</v>
      </c>
      <c r="J40" s="191" t="s">
        <v>76</v>
      </c>
      <c r="K40" s="191" t="s">
        <v>77</v>
      </c>
      <c r="L40" s="191" t="s">
        <v>77</v>
      </c>
      <c r="M40" s="191" t="s">
        <v>76</v>
      </c>
      <c r="N40" s="191" t="s">
        <v>76</v>
      </c>
      <c r="O40" s="191" t="s">
        <v>76</v>
      </c>
      <c r="P40" s="191" t="s">
        <v>76</v>
      </c>
      <c r="Q40" s="191" t="s">
        <v>76</v>
      </c>
      <c r="R40" s="191"/>
      <c r="S40" s="191" t="s">
        <v>76</v>
      </c>
      <c r="T40" s="227" t="s">
        <v>76</v>
      </c>
    </row>
    <row r="41" spans="1:20" ht="13.5" customHeight="1">
      <c r="A41" s="233"/>
      <c r="B41" s="334" t="s">
        <v>78</v>
      </c>
      <c r="C41" s="334"/>
      <c r="D41" s="334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75.75" thickBot="1">
      <c r="A42" s="253"/>
      <c r="B42" s="335" t="s">
        <v>79</v>
      </c>
      <c r="C42" s="335"/>
      <c r="D42" s="335"/>
      <c r="E42" s="230"/>
      <c r="F42" s="231"/>
      <c r="G42" s="231"/>
      <c r="H42" s="231"/>
      <c r="I42" s="231"/>
      <c r="J42" s="231"/>
      <c r="K42" s="231" t="s">
        <v>80</v>
      </c>
      <c r="L42" s="231" t="s">
        <v>81</v>
      </c>
      <c r="M42" s="231" t="s">
        <v>82</v>
      </c>
      <c r="N42" s="231" t="s">
        <v>83</v>
      </c>
      <c r="O42" s="231" t="s">
        <v>84</v>
      </c>
      <c r="P42" s="231" t="s">
        <v>85</v>
      </c>
      <c r="Q42" s="231" t="s">
        <v>86</v>
      </c>
      <c r="R42" s="231" t="s">
        <v>87</v>
      </c>
      <c r="S42" s="231" t="s">
        <v>88</v>
      </c>
      <c r="T42" s="232" t="s">
        <v>89</v>
      </c>
    </row>
    <row r="43" spans="1:20" ht="11.25" thickTop="1">
      <c r="A43" s="214"/>
    </row>
  </sheetData>
  <mergeCells count="28">
    <mergeCell ref="A2:B2"/>
    <mergeCell ref="C2:E2"/>
    <mergeCell ref="F2:K2"/>
    <mergeCell ref="B40:D40"/>
    <mergeCell ref="F7:K7"/>
    <mergeCell ref="C7:E7"/>
    <mergeCell ref="A7:B7"/>
    <mergeCell ref="A3:B3"/>
    <mergeCell ref="A4:B4"/>
    <mergeCell ref="C4:D4"/>
    <mergeCell ref="B41:D41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O6:T6"/>
    <mergeCell ref="L2:T2"/>
    <mergeCell ref="L3:N3"/>
    <mergeCell ref="C6:E6"/>
    <mergeCell ref="F3:K3"/>
    <mergeCell ref="L4:T4"/>
    <mergeCell ref="F6:K6"/>
    <mergeCell ref="F4:K4"/>
  </mergeCells>
  <phoneticPr fontId="34" type="noConversion"/>
  <dataValidations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topLeftCell="A16" workbookViewId="0">
      <selection activeCell="V17" sqref="V17"/>
    </sheetView>
  </sheetViews>
  <sheetFormatPr defaultRowHeight="13.5" customHeight="1"/>
  <cols>
    <col min="1" max="1" width="8.25" style="85" customWidth="1"/>
    <col min="2" max="2" width="13.375" style="89" customWidth="1"/>
    <col min="3" max="3" width="10.75" style="85" customWidth="1"/>
    <col min="4" max="4" width="11.375" style="86" customWidth="1"/>
    <col min="5" max="5" width="1.75" style="85" hidden="1" customWidth="1"/>
    <col min="6" max="7" width="2.875" style="85" bestFit="1" customWidth="1"/>
    <col min="8" max="8" width="2.875" style="85" customWidth="1"/>
    <col min="9" max="10" width="2.875" style="85" bestFit="1" customWidth="1"/>
    <col min="11" max="19" width="2.875" style="85" customWidth="1"/>
    <col min="20" max="20" width="2.875" style="85" bestFit="1" customWidth="1"/>
    <col min="21" max="21" width="2.875" style="85" customWidth="1"/>
    <col min="22" max="16384" width="9" style="85"/>
  </cols>
  <sheetData>
    <row r="1" spans="1:23" ht="22.5" customHeight="1" thickBot="1">
      <c r="A1" s="92"/>
      <c r="B1" s="195"/>
      <c r="D1" s="196"/>
    </row>
    <row r="2" spans="1:23" ht="15" customHeight="1">
      <c r="A2" s="365" t="s">
        <v>106</v>
      </c>
      <c r="B2" s="366"/>
      <c r="C2" s="367" t="str">
        <f>FunctionList!E12</f>
        <v>Function2</v>
      </c>
      <c r="D2" s="369"/>
      <c r="E2" s="197"/>
      <c r="F2" s="366" t="s">
        <v>25</v>
      </c>
      <c r="G2" s="366"/>
      <c r="H2" s="366"/>
      <c r="I2" s="366"/>
      <c r="J2" s="366"/>
      <c r="K2" s="366"/>
      <c r="L2" s="367" t="str">
        <f>FunctionList!D12</f>
        <v>Function B</v>
      </c>
      <c r="M2" s="367"/>
      <c r="N2" s="367"/>
      <c r="O2" s="367"/>
      <c r="P2" s="367"/>
      <c r="Q2" s="367"/>
      <c r="R2" s="367"/>
      <c r="S2" s="367"/>
      <c r="T2" s="368"/>
    </row>
    <row r="3" spans="1:23" ht="13.5" customHeight="1">
      <c r="A3" s="363" t="s">
        <v>107</v>
      </c>
      <c r="B3" s="364"/>
      <c r="C3" s="337" t="s">
        <v>47</v>
      </c>
      <c r="D3" s="324"/>
      <c r="E3" s="338"/>
      <c r="F3" s="370" t="s">
        <v>108</v>
      </c>
      <c r="G3" s="371"/>
      <c r="H3" s="371"/>
      <c r="I3" s="371"/>
      <c r="J3" s="371"/>
      <c r="K3" s="372"/>
      <c r="L3" s="324"/>
      <c r="M3" s="324"/>
      <c r="N3" s="324"/>
      <c r="O3" s="192"/>
      <c r="P3" s="192"/>
      <c r="Q3" s="192"/>
      <c r="R3" s="192"/>
      <c r="S3" s="192"/>
      <c r="T3" s="193"/>
    </row>
    <row r="4" spans="1:23" ht="13.5" customHeight="1">
      <c r="A4" s="342" t="s">
        <v>109</v>
      </c>
      <c r="B4" s="343"/>
      <c r="C4" s="361">
        <v>300</v>
      </c>
      <c r="D4" s="362"/>
      <c r="E4" s="206"/>
      <c r="F4" s="327" t="s">
        <v>110</v>
      </c>
      <c r="G4" s="328"/>
      <c r="H4" s="328"/>
      <c r="I4" s="328"/>
      <c r="J4" s="328"/>
      <c r="K4" s="329"/>
      <c r="L4" s="330">
        <f xml:space="preserve"> IF(FunctionList!E6&lt;&gt;"N/A",SUM(C4*FunctionList!E6/1000,- O7),"N/A")</f>
        <v>15</v>
      </c>
      <c r="M4" s="331"/>
      <c r="N4" s="331"/>
      <c r="O4" s="331"/>
      <c r="P4" s="331"/>
      <c r="Q4" s="331"/>
      <c r="R4" s="331"/>
      <c r="S4" s="331"/>
      <c r="T4" s="332"/>
      <c r="V4" s="87"/>
    </row>
    <row r="5" spans="1:23" ht="13.5" customHeight="1">
      <c r="A5" s="342" t="s">
        <v>111</v>
      </c>
      <c r="B5" s="343"/>
      <c r="C5" s="344" t="s">
        <v>105</v>
      </c>
      <c r="D5" s="344"/>
      <c r="E5" s="344"/>
      <c r="F5" s="345"/>
      <c r="G5" s="345"/>
      <c r="H5" s="345"/>
      <c r="I5" s="345"/>
      <c r="J5" s="345"/>
      <c r="K5" s="345"/>
      <c r="L5" s="344"/>
      <c r="M5" s="344"/>
      <c r="N5" s="344"/>
      <c r="O5" s="344"/>
      <c r="P5" s="344"/>
      <c r="Q5" s="344"/>
      <c r="R5" s="344"/>
      <c r="S5" s="344"/>
      <c r="T5" s="344"/>
    </row>
    <row r="6" spans="1:23" ht="13.5" customHeight="1">
      <c r="A6" s="340" t="s">
        <v>36</v>
      </c>
      <c r="B6" s="341"/>
      <c r="C6" s="325" t="s">
        <v>37</v>
      </c>
      <c r="D6" s="319"/>
      <c r="E6" s="326"/>
      <c r="F6" s="325" t="s">
        <v>38</v>
      </c>
      <c r="G6" s="319"/>
      <c r="H6" s="319"/>
      <c r="I6" s="319"/>
      <c r="J6" s="319"/>
      <c r="K6" s="333"/>
      <c r="L6" s="319" t="s">
        <v>112</v>
      </c>
      <c r="M6" s="319"/>
      <c r="N6" s="319"/>
      <c r="O6" s="318" t="s">
        <v>39</v>
      </c>
      <c r="P6" s="319"/>
      <c r="Q6" s="319"/>
      <c r="R6" s="319"/>
      <c r="S6" s="319"/>
      <c r="T6" s="320"/>
      <c r="V6" s="87"/>
    </row>
    <row r="7" spans="1:23" ht="13.5" customHeight="1" thickBot="1">
      <c r="A7" s="360">
        <f>COUNTIF(F40:HQ40,"P")</f>
        <v>12</v>
      </c>
      <c r="B7" s="359"/>
      <c r="C7" s="357">
        <f>COUNTIF(F40:HQ40,"F")</f>
        <v>3</v>
      </c>
      <c r="D7" s="347"/>
      <c r="E7" s="359"/>
      <c r="F7" s="357">
        <f>SUM(O7,- A7,- C7)</f>
        <v>0</v>
      </c>
      <c r="G7" s="347"/>
      <c r="H7" s="347"/>
      <c r="I7" s="347"/>
      <c r="J7" s="347"/>
      <c r="K7" s="358"/>
      <c r="L7" s="194">
        <f>COUNTIF(E39:HQ39,"N")</f>
        <v>12</v>
      </c>
      <c r="M7" s="194">
        <f>COUNTIF(E39:HQ39,"A")</f>
        <v>2</v>
      </c>
      <c r="N7" s="194">
        <f>COUNTIF(E39:HQ39,"B")</f>
        <v>1</v>
      </c>
      <c r="O7" s="346">
        <f>COUNTA(E9:HT9)</f>
        <v>15</v>
      </c>
      <c r="P7" s="347"/>
      <c r="Q7" s="347"/>
      <c r="R7" s="347"/>
      <c r="S7" s="347"/>
      <c r="T7" s="348"/>
      <c r="U7" s="88"/>
    </row>
    <row r="8" spans="1:23" ht="11.25" thickBot="1"/>
    <row r="9" spans="1:23" ht="43.5" thickTop="1" thickBot="1">
      <c r="A9" s="241"/>
      <c r="B9" s="242"/>
      <c r="C9" s="243"/>
      <c r="D9" s="244"/>
      <c r="E9" s="243"/>
      <c r="F9" s="245" t="s">
        <v>48</v>
      </c>
      <c r="G9" s="245" t="s">
        <v>49</v>
      </c>
      <c r="H9" s="245" t="s">
        <v>50</v>
      </c>
      <c r="I9" s="245" t="s">
        <v>51</v>
      </c>
      <c r="J9" s="245" t="s">
        <v>52</v>
      </c>
      <c r="K9" s="245" t="s">
        <v>53</v>
      </c>
      <c r="L9" s="245" t="s">
        <v>54</v>
      </c>
      <c r="M9" s="245" t="s">
        <v>55</v>
      </c>
      <c r="N9" s="245" t="s">
        <v>56</v>
      </c>
      <c r="O9" s="245" t="s">
        <v>57</v>
      </c>
      <c r="P9" s="245" t="s">
        <v>58</v>
      </c>
      <c r="Q9" s="245" t="s">
        <v>59</v>
      </c>
      <c r="R9" s="245" t="s">
        <v>60</v>
      </c>
      <c r="S9" s="245" t="s">
        <v>61</v>
      </c>
      <c r="T9" s="246" t="s">
        <v>62</v>
      </c>
      <c r="U9" s="90"/>
      <c r="V9" s="91"/>
      <c r="W9" s="92"/>
    </row>
    <row r="10" spans="1:23" ht="13.5" customHeight="1">
      <c r="A10" s="235" t="s">
        <v>113</v>
      </c>
      <c r="B10" s="93" t="s">
        <v>99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 t="s">
        <v>63</v>
      </c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  <c r="V13" s="87"/>
    </row>
    <row r="14" spans="1:23" ht="13.5" customHeight="1">
      <c r="A14" s="221"/>
      <c r="B14" s="93" t="s">
        <v>100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 t="s">
        <v>64</v>
      </c>
      <c r="E15" s="100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 t="s">
        <v>65</v>
      </c>
      <c r="E16" s="100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 t="s">
        <v>66</v>
      </c>
      <c r="E17" s="100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 t="s">
        <v>101</v>
      </c>
      <c r="C18" s="94"/>
      <c r="D18" s="95"/>
      <c r="E18" s="100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/>
      <c r="C19" s="94"/>
      <c r="D19" s="339" t="s">
        <v>67</v>
      </c>
      <c r="E19" s="339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</row>
    <row r="20" spans="1:21" ht="13.5" customHeight="1">
      <c r="A20" s="221"/>
      <c r="B20" s="93"/>
      <c r="C20" s="94"/>
      <c r="D20" s="95">
        <v>5</v>
      </c>
      <c r="E20" s="100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10</v>
      </c>
      <c r="E21" s="100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/>
      <c r="E22" s="100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/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/>
      <c r="E24" s="100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/>
      <c r="E25" s="100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/>
      <c r="E26" s="100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/>
      <c r="E27" s="100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 thickBot="1">
      <c r="A30" s="221"/>
      <c r="B30" s="102"/>
      <c r="C30" s="103"/>
      <c r="D30" s="104"/>
      <c r="E30" s="105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248"/>
    </row>
    <row r="31" spans="1:21" ht="13.5" customHeight="1" thickTop="1">
      <c r="A31" s="234" t="s">
        <v>117</v>
      </c>
      <c r="B31" s="107" t="s">
        <v>102</v>
      </c>
      <c r="C31" s="108"/>
      <c r="D31" s="109"/>
      <c r="E31" s="110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249"/>
    </row>
    <row r="32" spans="1:21" ht="13.5" customHeight="1">
      <c r="A32" s="233"/>
      <c r="B32" s="112"/>
      <c r="C32" s="113"/>
      <c r="D32" s="114">
        <v>1</v>
      </c>
      <c r="E32" s="115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47"/>
    </row>
    <row r="33" spans="1:20" ht="13.5" customHeight="1">
      <c r="A33" s="233"/>
      <c r="B33" s="112"/>
      <c r="C33" s="116"/>
      <c r="D33" s="114">
        <v>2</v>
      </c>
      <c r="E33" s="11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247"/>
    </row>
    <row r="34" spans="1:20" ht="13.5" customHeight="1">
      <c r="A34" s="233"/>
      <c r="B34" s="112" t="s">
        <v>103</v>
      </c>
      <c r="C34" s="116"/>
      <c r="D34" s="114"/>
      <c r="E34" s="11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12"/>
      <c r="C35" s="116"/>
      <c r="D35" s="114"/>
      <c r="E35" s="11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12" t="s">
        <v>104</v>
      </c>
      <c r="C36" s="116"/>
      <c r="D36" s="114"/>
      <c r="E36" s="11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12"/>
      <c r="C37" s="116"/>
      <c r="D37" s="114" t="s">
        <v>68</v>
      </c>
      <c r="E37" s="11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 thickBot="1">
      <c r="A38" s="233"/>
      <c r="B38" s="207"/>
      <c r="C38" s="208"/>
      <c r="D38" s="209" t="s">
        <v>69</v>
      </c>
      <c r="E38" s="210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50"/>
    </row>
    <row r="39" spans="1:20" ht="13.5" customHeight="1" thickTop="1">
      <c r="A39" s="234" t="s">
        <v>70</v>
      </c>
      <c r="B39" s="336" t="s">
        <v>71</v>
      </c>
      <c r="C39" s="336"/>
      <c r="D39" s="336"/>
      <c r="E39" s="212"/>
      <c r="F39" s="240" t="s">
        <v>72</v>
      </c>
      <c r="G39" s="240" t="s">
        <v>72</v>
      </c>
      <c r="H39" s="240" t="s">
        <v>72</v>
      </c>
      <c r="I39" s="240" t="s">
        <v>72</v>
      </c>
      <c r="J39" s="240" t="s">
        <v>72</v>
      </c>
      <c r="K39" s="240" t="s">
        <v>73</v>
      </c>
      <c r="L39" s="240" t="s">
        <v>74</v>
      </c>
      <c r="M39" s="240" t="s">
        <v>72</v>
      </c>
      <c r="N39" s="240" t="s">
        <v>72</v>
      </c>
      <c r="O39" s="240" t="s">
        <v>72</v>
      </c>
      <c r="P39" s="240" t="s">
        <v>72</v>
      </c>
      <c r="Q39" s="240" t="s">
        <v>72</v>
      </c>
      <c r="R39" s="240" t="s">
        <v>74</v>
      </c>
      <c r="S39" s="240" t="s">
        <v>72</v>
      </c>
      <c r="T39" s="251" t="s">
        <v>72</v>
      </c>
    </row>
    <row r="40" spans="1:20" ht="13.5" customHeight="1">
      <c r="A40" s="233"/>
      <c r="B40" s="356" t="s">
        <v>75</v>
      </c>
      <c r="C40" s="356"/>
      <c r="D40" s="356"/>
      <c r="E40" s="119"/>
      <c r="F40" s="118" t="s">
        <v>76</v>
      </c>
      <c r="G40" s="118" t="s">
        <v>76</v>
      </c>
      <c r="H40" s="118" t="s">
        <v>76</v>
      </c>
      <c r="I40" s="118" t="s">
        <v>76</v>
      </c>
      <c r="J40" s="118" t="s">
        <v>76</v>
      </c>
      <c r="K40" s="118" t="s">
        <v>77</v>
      </c>
      <c r="L40" s="118" t="s">
        <v>77</v>
      </c>
      <c r="M40" s="118" t="s">
        <v>76</v>
      </c>
      <c r="N40" s="118" t="s">
        <v>76</v>
      </c>
      <c r="O40" s="118" t="s">
        <v>76</v>
      </c>
      <c r="P40" s="118" t="s">
        <v>76</v>
      </c>
      <c r="Q40" s="118" t="s">
        <v>76</v>
      </c>
      <c r="R40" s="118" t="s">
        <v>77</v>
      </c>
      <c r="S40" s="118" t="s">
        <v>76</v>
      </c>
      <c r="T40" s="252" t="s">
        <v>76</v>
      </c>
    </row>
    <row r="41" spans="1:20" ht="13.5" customHeight="1">
      <c r="A41" s="233"/>
      <c r="B41" s="334" t="s">
        <v>78</v>
      </c>
      <c r="C41" s="334"/>
      <c r="D41" s="334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75.75" thickBot="1">
      <c r="A42" s="253"/>
      <c r="B42" s="335" t="s">
        <v>79</v>
      </c>
      <c r="C42" s="335"/>
      <c r="D42" s="335"/>
      <c r="E42" s="230"/>
      <c r="F42" s="231"/>
      <c r="G42" s="231"/>
      <c r="H42" s="231"/>
      <c r="I42" s="231"/>
      <c r="J42" s="231"/>
      <c r="K42" s="231" t="s">
        <v>80</v>
      </c>
      <c r="L42" s="231" t="s">
        <v>81</v>
      </c>
      <c r="M42" s="231" t="s">
        <v>82</v>
      </c>
      <c r="N42" s="231" t="s">
        <v>83</v>
      </c>
      <c r="O42" s="231" t="s">
        <v>84</v>
      </c>
      <c r="P42" s="231" t="s">
        <v>85</v>
      </c>
      <c r="Q42" s="231" t="s">
        <v>86</v>
      </c>
      <c r="R42" s="231" t="s">
        <v>87</v>
      </c>
      <c r="S42" s="231" t="s">
        <v>88</v>
      </c>
      <c r="T42" s="232" t="s">
        <v>89</v>
      </c>
    </row>
    <row r="43" spans="1:20" ht="11.25" thickTop="1">
      <c r="A43" s="89"/>
      <c r="B43" s="85"/>
      <c r="C43" s="86"/>
      <c r="D43" s="85"/>
    </row>
  </sheetData>
  <mergeCells count="28"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  <mergeCell ref="B40:D40"/>
    <mergeCell ref="A5:B5"/>
    <mergeCell ref="C5:T5"/>
    <mergeCell ref="B41:D41"/>
    <mergeCell ref="A7:B7"/>
    <mergeCell ref="B42:D42"/>
    <mergeCell ref="B39:D39"/>
    <mergeCell ref="C3:E3"/>
    <mergeCell ref="A3:B3"/>
    <mergeCell ref="A4:B4"/>
    <mergeCell ref="C4:D4"/>
    <mergeCell ref="D19:E19"/>
    <mergeCell ref="A6:B6"/>
  </mergeCells>
  <phoneticPr fontId="34" type="noConversion"/>
  <dataValidations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topLeftCell="A25" workbookViewId="0">
      <selection activeCell="V42" sqref="V42"/>
    </sheetView>
  </sheetViews>
  <sheetFormatPr defaultRowHeight="13.5" customHeight="1"/>
  <cols>
    <col min="1" max="1" width="6.75" style="122" customWidth="1"/>
    <col min="2" max="2" width="13.375" style="126" customWidth="1"/>
    <col min="3" max="3" width="10.75" style="122" customWidth="1"/>
    <col min="4" max="4" width="11.375" style="123" customWidth="1"/>
    <col min="5" max="5" width="1.75" style="122" hidden="1" customWidth="1"/>
    <col min="6" max="7" width="2.875" style="122" bestFit="1" customWidth="1"/>
    <col min="8" max="8" width="2.875" style="122" customWidth="1"/>
    <col min="9" max="10" width="2.875" style="122" bestFit="1" customWidth="1"/>
    <col min="11" max="19" width="2.875" style="122" customWidth="1"/>
    <col min="20" max="20" width="2.875" style="122" bestFit="1" customWidth="1"/>
    <col min="21" max="21" width="2.875" style="122" customWidth="1"/>
    <col min="22" max="16384" width="9" style="122"/>
  </cols>
  <sheetData>
    <row r="1" spans="1:23" ht="13.5" customHeight="1" thickBot="1">
      <c r="A1" s="129"/>
      <c r="B1" s="198"/>
    </row>
    <row r="2" spans="1:23" ht="13.5" customHeight="1">
      <c r="A2" s="365" t="s">
        <v>106</v>
      </c>
      <c r="B2" s="366"/>
      <c r="C2" s="367" t="str">
        <f>FunctionList!E13</f>
        <v>Function3</v>
      </c>
      <c r="D2" s="369"/>
      <c r="F2" s="366" t="s">
        <v>25</v>
      </c>
      <c r="G2" s="366"/>
      <c r="H2" s="366"/>
      <c r="I2" s="366"/>
      <c r="J2" s="366"/>
      <c r="K2" s="366"/>
      <c r="L2" s="400" t="str">
        <f>FunctionList!D13</f>
        <v>Function C</v>
      </c>
      <c r="M2" s="401"/>
      <c r="N2" s="401"/>
      <c r="O2" s="401"/>
      <c r="P2" s="401"/>
      <c r="Q2" s="401"/>
      <c r="R2" s="401"/>
      <c r="S2" s="401"/>
      <c r="T2" s="402"/>
    </row>
    <row r="3" spans="1:23" ht="13.5" customHeight="1">
      <c r="A3" s="381" t="s">
        <v>107</v>
      </c>
      <c r="B3" s="382"/>
      <c r="C3" s="375" t="s">
        <v>47</v>
      </c>
      <c r="D3" s="376"/>
      <c r="E3" s="377"/>
      <c r="F3" s="397" t="s">
        <v>108</v>
      </c>
      <c r="G3" s="398"/>
      <c r="H3" s="398"/>
      <c r="I3" s="398"/>
      <c r="J3" s="398"/>
      <c r="K3" s="399"/>
      <c r="L3" s="376"/>
      <c r="M3" s="376"/>
      <c r="N3" s="376"/>
      <c r="O3" s="260"/>
      <c r="P3" s="260"/>
      <c r="Q3" s="260"/>
      <c r="R3" s="260"/>
      <c r="S3" s="260"/>
      <c r="T3" s="261"/>
    </row>
    <row r="4" spans="1:23" ht="13.5" customHeight="1">
      <c r="A4" s="381" t="s">
        <v>109</v>
      </c>
      <c r="B4" s="382"/>
      <c r="C4" s="409">
        <v>300</v>
      </c>
      <c r="D4" s="410"/>
      <c r="E4" s="262"/>
      <c r="F4" s="397" t="s">
        <v>110</v>
      </c>
      <c r="G4" s="398"/>
      <c r="H4" s="398"/>
      <c r="I4" s="398"/>
      <c r="J4" s="398"/>
      <c r="K4" s="399"/>
      <c r="L4" s="406">
        <f xml:space="preserve"> IF(FunctionList!E6&lt;&gt;"N/A",SUM(C4*FunctionList!E6/1000,- O7),"N/A")</f>
        <v>15</v>
      </c>
      <c r="M4" s="407"/>
      <c r="N4" s="407"/>
      <c r="O4" s="407"/>
      <c r="P4" s="407"/>
      <c r="Q4" s="407"/>
      <c r="R4" s="407"/>
      <c r="S4" s="407"/>
      <c r="T4" s="408"/>
      <c r="V4" s="124"/>
    </row>
    <row r="5" spans="1:23" ht="13.5" customHeight="1">
      <c r="A5" s="381" t="s">
        <v>111</v>
      </c>
      <c r="B5" s="382"/>
      <c r="C5" s="383" t="s">
        <v>105</v>
      </c>
      <c r="D5" s="383"/>
      <c r="E5" s="383"/>
      <c r="F5" s="384"/>
      <c r="G5" s="384"/>
      <c r="H5" s="384"/>
      <c r="I5" s="384"/>
      <c r="J5" s="384"/>
      <c r="K5" s="384"/>
      <c r="L5" s="383"/>
      <c r="M5" s="383"/>
      <c r="N5" s="383"/>
      <c r="O5" s="383"/>
      <c r="P5" s="383"/>
      <c r="Q5" s="383"/>
      <c r="R5" s="383"/>
      <c r="S5" s="383"/>
      <c r="T5" s="383"/>
    </row>
    <row r="6" spans="1:23" ht="13.5" customHeight="1">
      <c r="A6" s="379" t="s">
        <v>36</v>
      </c>
      <c r="B6" s="380"/>
      <c r="C6" s="395" t="s">
        <v>37</v>
      </c>
      <c r="D6" s="385"/>
      <c r="E6" s="396"/>
      <c r="F6" s="395" t="s">
        <v>38</v>
      </c>
      <c r="G6" s="385"/>
      <c r="H6" s="385"/>
      <c r="I6" s="385"/>
      <c r="J6" s="385"/>
      <c r="K6" s="403"/>
      <c r="L6" s="385" t="s">
        <v>112</v>
      </c>
      <c r="M6" s="385"/>
      <c r="N6" s="385"/>
      <c r="O6" s="404" t="s">
        <v>39</v>
      </c>
      <c r="P6" s="385"/>
      <c r="Q6" s="385"/>
      <c r="R6" s="385"/>
      <c r="S6" s="385"/>
      <c r="T6" s="405"/>
      <c r="V6" s="124"/>
    </row>
    <row r="7" spans="1:23" ht="13.5" customHeight="1" thickBot="1">
      <c r="A7" s="394">
        <f>COUNTIF(F40:HQ40,"P")</f>
        <v>12</v>
      </c>
      <c r="B7" s="393"/>
      <c r="C7" s="389">
        <f>COUNTIF(F40:HQ40,"F")</f>
        <v>2</v>
      </c>
      <c r="D7" s="387"/>
      <c r="E7" s="393"/>
      <c r="F7" s="389">
        <f>SUM(O7,- A7,- C7)</f>
        <v>1</v>
      </c>
      <c r="G7" s="387"/>
      <c r="H7" s="387"/>
      <c r="I7" s="387"/>
      <c r="J7" s="387"/>
      <c r="K7" s="390"/>
      <c r="L7" s="263">
        <f>COUNTIF(E39:HQ39,"N")</f>
        <v>12</v>
      </c>
      <c r="M7" s="263">
        <f>COUNTIF(E39:HQ39,"A")</f>
        <v>2</v>
      </c>
      <c r="N7" s="263">
        <f>COUNTIF(E39:HQ39,"B")</f>
        <v>1</v>
      </c>
      <c r="O7" s="386">
        <f>COUNTA(E9:HT9)</f>
        <v>15</v>
      </c>
      <c r="P7" s="387"/>
      <c r="Q7" s="387"/>
      <c r="R7" s="387"/>
      <c r="S7" s="387"/>
      <c r="T7" s="388"/>
      <c r="U7" s="125"/>
    </row>
    <row r="8" spans="1:23" ht="11.25" thickBot="1"/>
    <row r="9" spans="1:23" ht="46.5" customHeight="1" thickTop="1" thickBot="1">
      <c r="A9" s="271"/>
      <c r="B9" s="272"/>
      <c r="C9" s="273"/>
      <c r="D9" s="274"/>
      <c r="E9" s="273"/>
      <c r="F9" s="275" t="s">
        <v>48</v>
      </c>
      <c r="G9" s="275" t="s">
        <v>49</v>
      </c>
      <c r="H9" s="275" t="s">
        <v>50</v>
      </c>
      <c r="I9" s="275" t="s">
        <v>51</v>
      </c>
      <c r="J9" s="275" t="s">
        <v>52</v>
      </c>
      <c r="K9" s="275" t="s">
        <v>53</v>
      </c>
      <c r="L9" s="275" t="s">
        <v>54</v>
      </c>
      <c r="M9" s="275" t="s">
        <v>55</v>
      </c>
      <c r="N9" s="275" t="s">
        <v>56</v>
      </c>
      <c r="O9" s="275" t="s">
        <v>57</v>
      </c>
      <c r="P9" s="275" t="s">
        <v>58</v>
      </c>
      <c r="Q9" s="275" t="s">
        <v>59</v>
      </c>
      <c r="R9" s="275" t="s">
        <v>60</v>
      </c>
      <c r="S9" s="275" t="s">
        <v>61</v>
      </c>
      <c r="T9" s="276" t="s">
        <v>62</v>
      </c>
      <c r="U9" s="127"/>
      <c r="V9" s="128"/>
      <c r="W9" s="129"/>
    </row>
    <row r="10" spans="1:23" ht="13.5" customHeight="1">
      <c r="A10" s="277" t="s">
        <v>113</v>
      </c>
      <c r="B10" s="130" t="s">
        <v>114</v>
      </c>
      <c r="C10" s="131"/>
      <c r="D10" s="132"/>
      <c r="E10" s="133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278"/>
    </row>
    <row r="11" spans="1:23" ht="13.5" customHeight="1">
      <c r="A11" s="279"/>
      <c r="B11" s="130"/>
      <c r="C11" s="131"/>
      <c r="D11" s="132" t="s">
        <v>63</v>
      </c>
      <c r="E11" s="135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278"/>
      <c r="V11" s="124"/>
    </row>
    <row r="12" spans="1:23" ht="13.5" customHeight="1">
      <c r="A12" s="279"/>
      <c r="B12" s="130"/>
      <c r="C12" s="131"/>
      <c r="D12" s="132"/>
      <c r="E12" s="135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278"/>
    </row>
    <row r="13" spans="1:23" ht="13.5" customHeight="1">
      <c r="A13" s="279"/>
      <c r="B13" s="130"/>
      <c r="C13" s="131"/>
      <c r="D13" s="132"/>
      <c r="E13" s="136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278"/>
    </row>
    <row r="14" spans="1:23" ht="13.5" customHeight="1">
      <c r="A14" s="279"/>
      <c r="B14" s="130" t="s">
        <v>115</v>
      </c>
      <c r="C14" s="131"/>
      <c r="D14" s="132"/>
      <c r="E14" s="137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278"/>
    </row>
    <row r="15" spans="1:23" ht="13.5" customHeight="1">
      <c r="A15" s="279"/>
      <c r="B15" s="130"/>
      <c r="C15" s="131"/>
      <c r="D15" s="132" t="s">
        <v>64</v>
      </c>
      <c r="E15" s="137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278"/>
      <c r="W15" s="124"/>
    </row>
    <row r="16" spans="1:23" ht="13.5" customHeight="1">
      <c r="A16" s="279"/>
      <c r="B16" s="130"/>
      <c r="C16" s="131"/>
      <c r="D16" s="132" t="s">
        <v>65</v>
      </c>
      <c r="E16" s="137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278"/>
    </row>
    <row r="17" spans="1:21" ht="13.5" customHeight="1">
      <c r="A17" s="279"/>
      <c r="B17" s="130"/>
      <c r="C17" s="131"/>
      <c r="D17" s="132" t="s">
        <v>66</v>
      </c>
      <c r="E17" s="137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278"/>
      <c r="U17" s="138"/>
    </row>
    <row r="18" spans="1:21" ht="13.5" customHeight="1">
      <c r="A18" s="279"/>
      <c r="B18" s="130" t="s">
        <v>116</v>
      </c>
      <c r="C18" s="131"/>
      <c r="D18" s="132"/>
      <c r="E18" s="137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278"/>
      <c r="U18" s="138"/>
    </row>
    <row r="19" spans="1:21" ht="13.5" customHeight="1">
      <c r="A19" s="279"/>
      <c r="B19" s="130"/>
      <c r="C19" s="131"/>
      <c r="D19" s="378" t="s">
        <v>67</v>
      </c>
      <c r="E19" s="378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278"/>
    </row>
    <row r="20" spans="1:21" ht="13.5" customHeight="1">
      <c r="A20" s="279"/>
      <c r="B20" s="130"/>
      <c r="C20" s="131"/>
      <c r="D20" s="132">
        <v>5</v>
      </c>
      <c r="E20" s="137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278"/>
    </row>
    <row r="21" spans="1:21" ht="13.5" customHeight="1">
      <c r="A21" s="279"/>
      <c r="B21" s="130"/>
      <c r="C21" s="131"/>
      <c r="D21" s="132">
        <v>10</v>
      </c>
      <c r="E21" s="137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278"/>
    </row>
    <row r="22" spans="1:21" ht="13.5" customHeight="1">
      <c r="A22" s="279"/>
      <c r="B22" s="130"/>
      <c r="C22" s="131"/>
      <c r="D22" s="132"/>
      <c r="E22" s="137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278"/>
    </row>
    <row r="23" spans="1:21" ht="13.5" customHeight="1">
      <c r="A23" s="279"/>
      <c r="B23" s="130"/>
      <c r="C23" s="131"/>
      <c r="D23" s="132"/>
      <c r="E23" s="137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278"/>
    </row>
    <row r="24" spans="1:21" ht="13.5" customHeight="1">
      <c r="A24" s="279"/>
      <c r="B24" s="130"/>
      <c r="C24" s="131"/>
      <c r="D24" s="132"/>
      <c r="E24" s="137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278"/>
    </row>
    <row r="25" spans="1:21" ht="13.5" customHeight="1">
      <c r="A25" s="279"/>
      <c r="B25" s="130"/>
      <c r="C25" s="131"/>
      <c r="D25" s="132"/>
      <c r="E25" s="137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278"/>
    </row>
    <row r="26" spans="1:21" ht="13.5" customHeight="1">
      <c r="A26" s="279"/>
      <c r="B26" s="130"/>
      <c r="C26" s="131"/>
      <c r="D26" s="132"/>
      <c r="E26" s="137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278"/>
    </row>
    <row r="27" spans="1:21" ht="13.5" customHeight="1">
      <c r="A27" s="279"/>
      <c r="B27" s="130"/>
      <c r="C27" s="131"/>
      <c r="D27" s="132"/>
      <c r="E27" s="137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278"/>
    </row>
    <row r="28" spans="1:21" ht="13.5" customHeight="1">
      <c r="A28" s="279"/>
      <c r="B28" s="130"/>
      <c r="C28" s="131"/>
      <c r="D28" s="132"/>
      <c r="E28" s="137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278"/>
    </row>
    <row r="29" spans="1:21" ht="13.5" customHeight="1">
      <c r="A29" s="279"/>
      <c r="B29" s="130"/>
      <c r="C29" s="131"/>
      <c r="D29" s="132"/>
      <c r="E29" s="137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278"/>
    </row>
    <row r="30" spans="1:21" ht="13.5" customHeight="1" thickBot="1">
      <c r="A30" s="279"/>
      <c r="B30" s="139"/>
      <c r="C30" s="140"/>
      <c r="D30" s="141"/>
      <c r="E30" s="142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280"/>
    </row>
    <row r="31" spans="1:21" ht="13.5" customHeight="1" thickTop="1">
      <c r="A31" s="281" t="s">
        <v>117</v>
      </c>
      <c r="B31" s="144" t="s">
        <v>118</v>
      </c>
      <c r="C31" s="145"/>
      <c r="D31" s="146"/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282"/>
    </row>
    <row r="32" spans="1:21" ht="13.5" customHeight="1">
      <c r="A32" s="283"/>
      <c r="B32" s="149"/>
      <c r="C32" s="150"/>
      <c r="D32" s="151">
        <v>1</v>
      </c>
      <c r="E32" s="152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278"/>
    </row>
    <row r="33" spans="1:20" ht="13.5" customHeight="1">
      <c r="A33" s="283"/>
      <c r="B33" s="149"/>
      <c r="C33" s="153"/>
      <c r="D33" s="151">
        <v>2</v>
      </c>
      <c r="E33" s="15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278"/>
    </row>
    <row r="34" spans="1:20" ht="13.5" customHeight="1">
      <c r="A34" s="283"/>
      <c r="B34" s="149" t="s">
        <v>119</v>
      </c>
      <c r="C34" s="153"/>
      <c r="D34" s="151"/>
      <c r="E34" s="15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278"/>
    </row>
    <row r="35" spans="1:20" ht="13.5" customHeight="1">
      <c r="A35" s="283"/>
      <c r="B35" s="149"/>
      <c r="C35" s="153"/>
      <c r="D35" s="151"/>
      <c r="E35" s="15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278"/>
    </row>
    <row r="36" spans="1:20" ht="13.5" customHeight="1">
      <c r="A36" s="283"/>
      <c r="B36" s="149" t="s">
        <v>120</v>
      </c>
      <c r="C36" s="153"/>
      <c r="D36" s="151"/>
      <c r="E36" s="15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278"/>
    </row>
    <row r="37" spans="1:20" ht="13.5" customHeight="1">
      <c r="A37" s="283"/>
      <c r="B37" s="149"/>
      <c r="C37" s="153"/>
      <c r="D37" s="151" t="s">
        <v>68</v>
      </c>
      <c r="E37" s="15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278"/>
    </row>
    <row r="38" spans="1:20" ht="13.5" customHeight="1" thickBot="1">
      <c r="A38" s="283"/>
      <c r="B38" s="264"/>
      <c r="C38" s="265"/>
      <c r="D38" s="266" t="s">
        <v>69</v>
      </c>
      <c r="E38" s="267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84"/>
    </row>
    <row r="39" spans="1:20" ht="13.5" customHeight="1" thickTop="1">
      <c r="A39" s="281" t="s">
        <v>70</v>
      </c>
      <c r="B39" s="374" t="s">
        <v>71</v>
      </c>
      <c r="C39" s="374"/>
      <c r="D39" s="374"/>
      <c r="E39" s="269"/>
      <c r="F39" s="270" t="s">
        <v>72</v>
      </c>
      <c r="G39" s="270" t="s">
        <v>72</v>
      </c>
      <c r="H39" s="270" t="s">
        <v>72</v>
      </c>
      <c r="I39" s="270" t="s">
        <v>72</v>
      </c>
      <c r="J39" s="270" t="s">
        <v>72</v>
      </c>
      <c r="K39" s="270" t="s">
        <v>73</v>
      </c>
      <c r="L39" s="270" t="s">
        <v>74</v>
      </c>
      <c r="M39" s="270" t="s">
        <v>72</v>
      </c>
      <c r="N39" s="270" t="s">
        <v>72</v>
      </c>
      <c r="O39" s="270" t="s">
        <v>72</v>
      </c>
      <c r="P39" s="270" t="s">
        <v>72</v>
      </c>
      <c r="Q39" s="270" t="s">
        <v>72</v>
      </c>
      <c r="R39" s="270" t="s">
        <v>74</v>
      </c>
      <c r="S39" s="270" t="s">
        <v>72</v>
      </c>
      <c r="T39" s="285" t="s">
        <v>72</v>
      </c>
    </row>
    <row r="40" spans="1:20" ht="13.5" customHeight="1">
      <c r="A40" s="286"/>
      <c r="B40" s="391" t="s">
        <v>75</v>
      </c>
      <c r="C40" s="391"/>
      <c r="D40" s="391"/>
      <c r="E40" s="156"/>
      <c r="F40" s="155" t="s">
        <v>76</v>
      </c>
      <c r="G40" s="155" t="s">
        <v>76</v>
      </c>
      <c r="H40" s="155" t="s">
        <v>76</v>
      </c>
      <c r="I40" s="155" t="s">
        <v>76</v>
      </c>
      <c r="J40" s="155" t="s">
        <v>76</v>
      </c>
      <c r="K40" s="155" t="s">
        <v>77</v>
      </c>
      <c r="L40" s="155" t="s">
        <v>77</v>
      </c>
      <c r="M40" s="155" t="s">
        <v>76</v>
      </c>
      <c r="N40" s="155" t="s">
        <v>76</v>
      </c>
      <c r="O40" s="155" t="s">
        <v>76</v>
      </c>
      <c r="P40" s="155" t="s">
        <v>76</v>
      </c>
      <c r="Q40" s="155" t="s">
        <v>76</v>
      </c>
      <c r="R40" s="155"/>
      <c r="S40" s="155" t="s">
        <v>76</v>
      </c>
      <c r="T40" s="287" t="s">
        <v>76</v>
      </c>
    </row>
    <row r="41" spans="1:20" ht="13.5" customHeight="1">
      <c r="A41" s="286"/>
      <c r="B41" s="392" t="s">
        <v>78</v>
      </c>
      <c r="C41" s="392"/>
      <c r="D41" s="392"/>
      <c r="E41" s="157"/>
      <c r="F41" s="158">
        <v>39139</v>
      </c>
      <c r="G41" s="158">
        <v>39139</v>
      </c>
      <c r="H41" s="158">
        <v>39140</v>
      </c>
      <c r="I41" s="158">
        <v>39141</v>
      </c>
      <c r="J41" s="158">
        <v>39142</v>
      </c>
      <c r="K41" s="158">
        <v>39143</v>
      </c>
      <c r="L41" s="158">
        <v>39144</v>
      </c>
      <c r="M41" s="158">
        <v>39145</v>
      </c>
      <c r="N41" s="158">
        <v>39146</v>
      </c>
      <c r="O41" s="158">
        <v>39147</v>
      </c>
      <c r="P41" s="158">
        <v>39148</v>
      </c>
      <c r="Q41" s="158">
        <v>39149</v>
      </c>
      <c r="R41" s="158">
        <v>39150</v>
      </c>
      <c r="S41" s="158">
        <v>39151</v>
      </c>
      <c r="T41" s="288">
        <v>39152</v>
      </c>
    </row>
    <row r="42" spans="1:20" ht="75.75" thickBot="1">
      <c r="A42" s="289"/>
      <c r="B42" s="373" t="s">
        <v>79</v>
      </c>
      <c r="C42" s="373"/>
      <c r="D42" s="373"/>
      <c r="E42" s="290"/>
      <c r="F42" s="291"/>
      <c r="G42" s="291"/>
      <c r="H42" s="291"/>
      <c r="I42" s="291"/>
      <c r="J42" s="291"/>
      <c r="K42" s="291" t="s">
        <v>80</v>
      </c>
      <c r="L42" s="291" t="s">
        <v>81</v>
      </c>
      <c r="M42" s="291" t="s">
        <v>82</v>
      </c>
      <c r="N42" s="291" t="s">
        <v>83</v>
      </c>
      <c r="O42" s="291" t="s">
        <v>84</v>
      </c>
      <c r="P42" s="291" t="s">
        <v>85</v>
      </c>
      <c r="Q42" s="291" t="s">
        <v>86</v>
      </c>
      <c r="R42" s="291" t="s">
        <v>87</v>
      </c>
      <c r="S42" s="291" t="s">
        <v>88</v>
      </c>
      <c r="T42" s="292" t="s">
        <v>89</v>
      </c>
    </row>
    <row r="43" spans="1:20" ht="11.25" thickTop="1">
      <c r="A43" s="126"/>
      <c r="B43" s="122"/>
      <c r="C43" s="123"/>
      <c r="D43" s="122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</mergeCells>
  <phoneticPr fontId="34" type="noConversion"/>
  <dataValidations disablePrompts="1"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9"/>
  <sheetViews>
    <sheetView topLeftCell="A25" workbookViewId="0">
      <selection activeCell="F9" sqref="F9"/>
    </sheetView>
  </sheetViews>
  <sheetFormatPr defaultRowHeight="13.5" customHeight="1"/>
  <cols>
    <col min="1" max="1" width="8.125" style="85" customWidth="1"/>
    <col min="2" max="2" width="13.375" style="89" customWidth="1"/>
    <col min="3" max="3" width="10.75" style="85" customWidth="1"/>
    <col min="4" max="4" width="11.375" style="86" customWidth="1"/>
    <col min="5" max="5" width="1.75" style="85" hidden="1" customWidth="1"/>
    <col min="6" max="11" width="2.875" style="85" bestFit="1" customWidth="1"/>
    <col min="12" max="19" width="2.875" style="85" customWidth="1"/>
    <col min="20" max="20" width="2.875" style="85" bestFit="1" customWidth="1"/>
    <col min="21" max="21" width="2.87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49" t="s">
        <v>106</v>
      </c>
      <c r="B2" s="350"/>
      <c r="C2" s="351" t="str">
        <f>FunctionList!E11</f>
        <v>Function1</v>
      </c>
      <c r="D2" s="352"/>
      <c r="E2" s="353"/>
      <c r="F2" s="354" t="s">
        <v>25</v>
      </c>
      <c r="G2" s="355"/>
      <c r="H2" s="355"/>
      <c r="I2" s="355"/>
      <c r="J2" s="355"/>
      <c r="K2" s="355"/>
      <c r="L2" s="321" t="str">
        <f>FunctionList!D11</f>
        <v>Function A</v>
      </c>
      <c r="M2" s="322"/>
      <c r="N2" s="322"/>
      <c r="O2" s="322"/>
      <c r="P2" s="322"/>
      <c r="Q2" s="322"/>
      <c r="R2" s="322"/>
      <c r="S2" s="322"/>
      <c r="T2" s="323"/>
      <c r="V2" s="87"/>
    </row>
    <row r="3" spans="1:23" ht="13.5" customHeight="1">
      <c r="A3" s="342" t="s">
        <v>107</v>
      </c>
      <c r="B3" s="343"/>
      <c r="C3" s="337" t="s">
        <v>47</v>
      </c>
      <c r="D3" s="324"/>
      <c r="E3" s="338"/>
      <c r="F3" s="327" t="s">
        <v>108</v>
      </c>
      <c r="G3" s="328"/>
      <c r="H3" s="328"/>
      <c r="I3" s="328"/>
      <c r="J3" s="328"/>
      <c r="K3" s="329"/>
      <c r="L3" s="324"/>
      <c r="M3" s="324"/>
      <c r="N3" s="324"/>
      <c r="O3" s="192"/>
      <c r="P3" s="192"/>
      <c r="Q3" s="192"/>
      <c r="R3" s="192"/>
      <c r="S3" s="192"/>
      <c r="T3" s="193"/>
    </row>
    <row r="4" spans="1:23" ht="13.5" customHeight="1">
      <c r="A4" s="342" t="s">
        <v>109</v>
      </c>
      <c r="B4" s="343"/>
      <c r="C4" s="361">
        <v>100</v>
      </c>
      <c r="D4" s="362"/>
      <c r="E4" s="206"/>
      <c r="F4" s="327" t="s">
        <v>110</v>
      </c>
      <c r="G4" s="328"/>
      <c r="H4" s="328"/>
      <c r="I4" s="328"/>
      <c r="J4" s="328"/>
      <c r="K4" s="329"/>
      <c r="L4" s="330">
        <f xml:space="preserve"> IF(FunctionList!E6&lt;&gt;"N/A",SUM(C4*FunctionList!E6/1000,- O7),"N/A")</f>
        <v>-5</v>
      </c>
      <c r="M4" s="331"/>
      <c r="N4" s="331"/>
      <c r="O4" s="331"/>
      <c r="P4" s="331"/>
      <c r="Q4" s="331"/>
      <c r="R4" s="331"/>
      <c r="S4" s="331"/>
      <c r="T4" s="332"/>
      <c r="V4" s="87"/>
    </row>
    <row r="5" spans="1:23" ht="13.5" customHeight="1">
      <c r="A5" s="342" t="s">
        <v>111</v>
      </c>
      <c r="B5" s="343"/>
      <c r="C5" s="344" t="s">
        <v>105</v>
      </c>
      <c r="D5" s="344"/>
      <c r="E5" s="344"/>
      <c r="F5" s="345"/>
      <c r="G5" s="345"/>
      <c r="H5" s="345"/>
      <c r="I5" s="345"/>
      <c r="J5" s="345"/>
      <c r="K5" s="345"/>
      <c r="L5" s="344"/>
      <c r="M5" s="344"/>
      <c r="N5" s="344"/>
      <c r="O5" s="344"/>
      <c r="P5" s="344"/>
      <c r="Q5" s="344"/>
      <c r="R5" s="344"/>
      <c r="S5" s="344"/>
      <c r="T5" s="344"/>
    </row>
    <row r="6" spans="1:23" ht="13.5" customHeight="1">
      <c r="A6" s="340" t="s">
        <v>36</v>
      </c>
      <c r="B6" s="341"/>
      <c r="C6" s="325" t="s">
        <v>37</v>
      </c>
      <c r="D6" s="319"/>
      <c r="E6" s="326"/>
      <c r="F6" s="325" t="s">
        <v>38</v>
      </c>
      <c r="G6" s="319"/>
      <c r="H6" s="319"/>
      <c r="I6" s="319"/>
      <c r="J6" s="319"/>
      <c r="K6" s="333"/>
      <c r="L6" s="319" t="s">
        <v>112</v>
      </c>
      <c r="M6" s="319"/>
      <c r="N6" s="319"/>
      <c r="O6" s="318" t="s">
        <v>39</v>
      </c>
      <c r="P6" s="319"/>
      <c r="Q6" s="319"/>
      <c r="R6" s="319"/>
      <c r="S6" s="319"/>
      <c r="T6" s="320"/>
      <c r="V6" s="87"/>
    </row>
    <row r="7" spans="1:23" ht="13.5" customHeight="1" thickBot="1">
      <c r="A7" s="360">
        <f>COUNTIF(F47:HQ47,"P")</f>
        <v>0</v>
      </c>
      <c r="B7" s="359"/>
      <c r="C7" s="357">
        <f>COUNTIF(F47:HQ47,"F")</f>
        <v>0</v>
      </c>
      <c r="D7" s="347"/>
      <c r="E7" s="359"/>
      <c r="F7" s="357">
        <f>SUM(O7,- A7,- C7)</f>
        <v>15</v>
      </c>
      <c r="G7" s="347"/>
      <c r="H7" s="347"/>
      <c r="I7" s="347"/>
      <c r="J7" s="347"/>
      <c r="K7" s="358"/>
      <c r="L7" s="194">
        <f>COUNTIF(E46:HQ46,"N")</f>
        <v>0</v>
      </c>
      <c r="M7" s="194">
        <f>COUNTIF(E46:HQ46,"A")</f>
        <v>0</v>
      </c>
      <c r="N7" s="194">
        <f>COUNTIF(E46:HQ46,"B")</f>
        <v>0</v>
      </c>
      <c r="O7" s="346">
        <f>COUNTA(E9:HT9)</f>
        <v>15</v>
      </c>
      <c r="P7" s="347"/>
      <c r="Q7" s="347"/>
      <c r="R7" s="347"/>
      <c r="S7" s="347"/>
      <c r="T7" s="348"/>
      <c r="U7" s="88"/>
    </row>
    <row r="8" spans="1:23" ht="11.25" thickBot="1"/>
    <row r="9" spans="1:23" ht="45" customHeight="1" thickTop="1" thickBot="1">
      <c r="A9" s="241"/>
      <c r="B9" s="215"/>
      <c r="C9" s="216"/>
      <c r="D9" s="217"/>
      <c r="E9" s="216"/>
      <c r="F9" s="218" t="s">
        <v>48</v>
      </c>
      <c r="G9" s="218" t="s">
        <v>49</v>
      </c>
      <c r="H9" s="218" t="s">
        <v>49</v>
      </c>
      <c r="I9" s="218" t="s">
        <v>49</v>
      </c>
      <c r="J9" s="218" t="s">
        <v>49</v>
      </c>
      <c r="K9" s="218" t="s">
        <v>49</v>
      </c>
      <c r="L9" s="218" t="s">
        <v>54</v>
      </c>
      <c r="M9" s="218" t="s">
        <v>55</v>
      </c>
      <c r="N9" s="218" t="s">
        <v>56</v>
      </c>
      <c r="O9" s="218" t="s">
        <v>57</v>
      </c>
      <c r="P9" s="218" t="s">
        <v>58</v>
      </c>
      <c r="Q9" s="218" t="s">
        <v>59</v>
      </c>
      <c r="R9" s="218" t="s">
        <v>60</v>
      </c>
      <c r="S9" s="218" t="s">
        <v>61</v>
      </c>
      <c r="T9" s="219" t="s">
        <v>62</v>
      </c>
      <c r="U9" s="90"/>
      <c r="V9" s="91"/>
      <c r="W9" s="92"/>
    </row>
    <row r="10" spans="1:23" ht="13.5" customHeight="1">
      <c r="A10" s="235" t="s">
        <v>113</v>
      </c>
      <c r="B10" s="93" t="s">
        <v>90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/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</row>
    <row r="14" spans="1:23" ht="13.5" customHeight="1">
      <c r="A14" s="221"/>
      <c r="B14" s="93" t="s">
        <v>142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>
        <v>-2</v>
      </c>
      <c r="E15" s="100"/>
      <c r="F15" s="97" t="s">
        <v>148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>
        <v>-1</v>
      </c>
      <c r="E16" s="100"/>
      <c r="F16" s="97"/>
      <c r="G16" s="97"/>
      <c r="H16" s="97"/>
      <c r="I16" s="97"/>
      <c r="J16" s="97"/>
      <c r="K16" s="97"/>
      <c r="L16" s="97" t="s">
        <v>148</v>
      </c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>
        <v>0</v>
      </c>
      <c r="E17" s="100"/>
      <c r="F17" s="97"/>
      <c r="G17" s="97" t="s">
        <v>148</v>
      </c>
      <c r="H17" s="97" t="s">
        <v>148</v>
      </c>
      <c r="I17" s="97" t="s">
        <v>148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/>
      <c r="C18" s="94"/>
      <c r="D18" s="95">
        <v>1</v>
      </c>
      <c r="E18" s="100"/>
      <c r="F18" s="97"/>
      <c r="G18" s="97"/>
      <c r="H18" s="97"/>
      <c r="I18" s="97"/>
      <c r="J18" s="97" t="s">
        <v>148</v>
      </c>
      <c r="K18" s="97" t="s">
        <v>148</v>
      </c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 t="s">
        <v>143</v>
      </c>
      <c r="C19" s="94"/>
      <c r="D19" s="95"/>
      <c r="E19" s="100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  <c r="U19" s="101"/>
    </row>
    <row r="20" spans="1:21" ht="13.5" customHeight="1">
      <c r="A20" s="221"/>
      <c r="B20" s="93"/>
      <c r="C20" s="94"/>
      <c r="D20" s="339">
        <v>0</v>
      </c>
      <c r="E20" s="339"/>
      <c r="F20" s="97"/>
      <c r="G20" s="97" t="s">
        <v>148</v>
      </c>
      <c r="H20" s="97" t="s">
        <v>148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-2</v>
      </c>
      <c r="E21" s="100"/>
      <c r="F21" s="97"/>
      <c r="G21" s="97"/>
      <c r="H21" s="97"/>
      <c r="I21" s="97"/>
      <c r="J21" s="97" t="s">
        <v>148</v>
      </c>
      <c r="K21" s="97" t="s">
        <v>148</v>
      </c>
      <c r="L21" s="97" t="s">
        <v>148</v>
      </c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>
        <v>2</v>
      </c>
      <c r="E22" s="100"/>
      <c r="F22" s="97"/>
      <c r="G22" s="97"/>
      <c r="H22" s="97"/>
      <c r="I22" s="97" t="s">
        <v>148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 t="s">
        <v>144</v>
      </c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>
        <v>0</v>
      </c>
      <c r="E24" s="100"/>
      <c r="F24" s="97"/>
      <c r="G24" s="97" t="s">
        <v>148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>
        <v>1</v>
      </c>
      <c r="E25" s="100"/>
      <c r="F25" s="97"/>
      <c r="G25" s="97"/>
      <c r="H25" s="97" t="s">
        <v>148</v>
      </c>
      <c r="I25" s="97" t="s">
        <v>148</v>
      </c>
      <c r="J25" s="97" t="s">
        <v>148</v>
      </c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>
        <v>3</v>
      </c>
      <c r="E26" s="100"/>
      <c r="F26" s="97"/>
      <c r="G26" s="97"/>
      <c r="H26" s="97"/>
      <c r="I26" s="97"/>
      <c r="J26" s="97"/>
      <c r="K26" s="97"/>
      <c r="L26" s="97" t="s">
        <v>148</v>
      </c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>
        <v>5</v>
      </c>
      <c r="E27" s="100"/>
      <c r="F27" s="97"/>
      <c r="G27" s="97"/>
      <c r="H27" s="97"/>
      <c r="I27" s="97"/>
      <c r="J27" s="97"/>
      <c r="K27" s="97" t="s">
        <v>148</v>
      </c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>
      <c r="A30" s="221"/>
      <c r="B30" s="93"/>
      <c r="C30" s="94"/>
      <c r="D30" s="95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47"/>
    </row>
    <row r="31" spans="1:21" ht="13.5" customHeight="1">
      <c r="A31" s="221"/>
      <c r="B31" s="93"/>
      <c r="C31" s="94"/>
      <c r="D31" s="95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247"/>
    </row>
    <row r="32" spans="1:21" ht="13.5" customHeight="1" thickBot="1">
      <c r="A32" s="221"/>
      <c r="B32" s="102"/>
      <c r="C32" s="103"/>
      <c r="D32" s="104"/>
      <c r="E32" s="105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248"/>
    </row>
    <row r="33" spans="1:20" ht="13.5" customHeight="1" thickTop="1">
      <c r="A33" s="234" t="s">
        <v>117</v>
      </c>
      <c r="B33" s="107" t="s">
        <v>91</v>
      </c>
      <c r="C33" s="108"/>
      <c r="D33" s="109"/>
      <c r="E33" s="110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249"/>
    </row>
    <row r="34" spans="1:20" ht="13.5" customHeight="1">
      <c r="A34" s="233"/>
      <c r="B34" s="159" t="s">
        <v>145</v>
      </c>
      <c r="C34" s="113"/>
      <c r="D34" s="114"/>
      <c r="E34" s="115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59"/>
      <c r="C35" s="113"/>
      <c r="D35" s="114" t="s">
        <v>146</v>
      </c>
      <c r="E35" s="115"/>
      <c r="F35" s="97" t="s">
        <v>148</v>
      </c>
      <c r="G35" s="97"/>
      <c r="H35" s="97" t="s">
        <v>148</v>
      </c>
      <c r="I35" s="97"/>
      <c r="J35" s="97"/>
      <c r="K35" s="97" t="s">
        <v>148</v>
      </c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59"/>
      <c r="C36" s="113"/>
      <c r="D36" s="114" t="s">
        <v>147</v>
      </c>
      <c r="E36" s="115"/>
      <c r="F36" s="97"/>
      <c r="G36" s="97" t="s">
        <v>148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59"/>
      <c r="C37" s="113"/>
      <c r="D37" s="114" t="s">
        <v>150</v>
      </c>
      <c r="E37" s="115"/>
      <c r="F37" s="97"/>
      <c r="G37" s="97"/>
      <c r="H37" s="97"/>
      <c r="I37" s="97" t="s">
        <v>148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>
      <c r="A38" s="233"/>
      <c r="B38" s="159"/>
      <c r="C38" s="113"/>
      <c r="D38" s="114" t="s">
        <v>151</v>
      </c>
      <c r="E38" s="115"/>
      <c r="F38" s="97"/>
      <c r="G38" s="97"/>
      <c r="H38" s="97"/>
      <c r="I38" s="97"/>
      <c r="J38" s="97" t="s">
        <v>148</v>
      </c>
      <c r="K38" s="97"/>
      <c r="L38" s="97"/>
      <c r="M38" s="97"/>
      <c r="N38" s="97"/>
      <c r="O38" s="97"/>
      <c r="P38" s="97"/>
      <c r="Q38" s="97"/>
      <c r="R38" s="97"/>
      <c r="S38" s="97"/>
      <c r="T38" s="247"/>
    </row>
    <row r="39" spans="1:20" ht="13.5" customHeight="1">
      <c r="A39" s="233"/>
      <c r="B39" s="112"/>
      <c r="C39" s="116"/>
      <c r="D39" s="114" t="s">
        <v>152</v>
      </c>
      <c r="E39" s="117"/>
      <c r="F39" s="97"/>
      <c r="G39" s="97"/>
      <c r="H39" s="97"/>
      <c r="I39" s="97"/>
      <c r="J39" s="97"/>
      <c r="K39" s="97"/>
      <c r="L39" s="97" t="s">
        <v>148</v>
      </c>
      <c r="M39" s="97"/>
      <c r="N39" s="97"/>
      <c r="O39" s="97"/>
      <c r="P39" s="97"/>
      <c r="Q39" s="97"/>
      <c r="R39" s="97"/>
      <c r="S39" s="97"/>
      <c r="T39" s="247"/>
    </row>
    <row r="40" spans="1:20" ht="13.5" customHeight="1">
      <c r="A40" s="233"/>
      <c r="B40" s="112" t="s">
        <v>92</v>
      </c>
      <c r="C40" s="116"/>
      <c r="D40" s="114"/>
      <c r="E40" s="11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247"/>
    </row>
    <row r="41" spans="1:20" ht="13.5" customHeight="1">
      <c r="A41" s="233"/>
      <c r="B41" s="112"/>
      <c r="C41" s="116"/>
      <c r="D41" s="114"/>
      <c r="E41" s="11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247"/>
    </row>
    <row r="42" spans="1:20" ht="13.5" customHeight="1">
      <c r="A42" s="233"/>
      <c r="B42" s="112" t="s">
        <v>93</v>
      </c>
      <c r="C42" s="116"/>
      <c r="D42" s="114"/>
      <c r="E42" s="1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247"/>
    </row>
    <row r="43" spans="1:20" ht="13.5" customHeight="1">
      <c r="A43" s="233"/>
      <c r="B43" s="112"/>
      <c r="C43" s="116"/>
      <c r="D43" s="114" t="s">
        <v>149</v>
      </c>
      <c r="E43" s="117"/>
      <c r="F43" s="97" t="s">
        <v>148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47"/>
    </row>
    <row r="44" spans="1:20" ht="13.5" customHeight="1" thickBot="1">
      <c r="A44" s="233"/>
      <c r="B44" s="207"/>
      <c r="C44" s="208"/>
      <c r="D44" s="209"/>
      <c r="E44" s="210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50"/>
    </row>
    <row r="45" spans="1:20" ht="13.5" customHeight="1" thickTop="1">
      <c r="A45" s="234" t="s">
        <v>70</v>
      </c>
      <c r="B45" s="336" t="s">
        <v>71</v>
      </c>
      <c r="C45" s="336"/>
      <c r="D45" s="336"/>
      <c r="E45" s="212"/>
      <c r="F45" s="240" t="s">
        <v>74</v>
      </c>
      <c r="G45" s="240" t="s">
        <v>72</v>
      </c>
      <c r="H45" s="240" t="s">
        <v>72</v>
      </c>
      <c r="I45" s="240" t="s">
        <v>72</v>
      </c>
      <c r="J45" s="240" t="s">
        <v>72</v>
      </c>
      <c r="K45" s="240" t="s">
        <v>72</v>
      </c>
      <c r="L45" s="240" t="s">
        <v>73</v>
      </c>
      <c r="M45" s="240"/>
      <c r="N45" s="240"/>
      <c r="O45" s="240"/>
      <c r="P45" s="240"/>
      <c r="Q45" s="240"/>
      <c r="R45" s="240"/>
      <c r="S45" s="240"/>
      <c r="T45" s="251"/>
    </row>
    <row r="46" spans="1:20" ht="13.5" customHeight="1">
      <c r="A46" s="226"/>
      <c r="B46" s="356" t="s">
        <v>75</v>
      </c>
      <c r="C46" s="356"/>
      <c r="D46" s="356"/>
      <c r="E46" s="119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252"/>
    </row>
    <row r="47" spans="1:20" ht="13.5" customHeight="1">
      <c r="A47" s="226"/>
      <c r="B47" s="334" t="s">
        <v>78</v>
      </c>
      <c r="C47" s="334"/>
      <c r="D47" s="334"/>
      <c r="E47" s="120"/>
      <c r="F47" s="121">
        <v>39139</v>
      </c>
      <c r="G47" s="121">
        <v>39139</v>
      </c>
      <c r="H47" s="121">
        <v>39139</v>
      </c>
      <c r="I47" s="121">
        <v>39139</v>
      </c>
      <c r="J47" s="121">
        <v>39139</v>
      </c>
      <c r="K47" s="121">
        <v>39139</v>
      </c>
      <c r="L47" s="121">
        <v>39144</v>
      </c>
      <c r="M47" s="121"/>
      <c r="N47" s="121"/>
      <c r="O47" s="121"/>
      <c r="P47" s="121"/>
      <c r="Q47" s="121"/>
      <c r="R47" s="121"/>
      <c r="S47" s="121"/>
      <c r="T47" s="228"/>
    </row>
    <row r="48" spans="1:20" ht="11.25" thickBot="1">
      <c r="A48" s="229"/>
      <c r="B48" s="335" t="s">
        <v>79</v>
      </c>
      <c r="C48" s="335"/>
      <c r="D48" s="335"/>
      <c r="E48" s="230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2"/>
    </row>
    <row r="49" spans="1:4" ht="11.25" thickTop="1">
      <c r="A49" s="89"/>
      <c r="B49" s="85"/>
      <c r="C49" s="86"/>
      <c r="D49" s="85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48:D48"/>
    <mergeCell ref="D20:E20"/>
    <mergeCell ref="B45:D45"/>
    <mergeCell ref="B46:D46"/>
    <mergeCell ref="B47:D47"/>
    <mergeCell ref="A6:B6"/>
    <mergeCell ref="C6:E6"/>
  </mergeCells>
  <phoneticPr fontId="44"/>
  <dataValidations count="3">
    <dataValidation type="list" allowBlank="1" showInputMessage="1" showErrorMessage="1" sqref="F46:T46">
      <formula1>"P,F, "</formula1>
    </dataValidation>
    <dataValidation type="list" allowBlank="1" showInputMessage="1" showErrorMessage="1" sqref="F45:T45">
      <formula1>"N,A,B, "</formula1>
    </dataValidation>
    <dataValidation type="list" allowBlank="1" showInputMessage="1" showErrorMessage="1" sqref="F10:T44">
      <formula1>"O, "</formula1>
    </dataValidation>
  </dataValidations>
  <pageMargins left="0.75" right="0.75" top="0.75" bottom="0.75" header="0.5" footer="0.5"/>
  <pageSetup orientation="portrait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Example</vt:lpstr>
      <vt:lpstr>Function1!Print_Area</vt:lpstr>
      <vt:lpstr>Function2!Print_Area</vt:lpstr>
      <vt:lpstr>Function3!Print_Area</vt:lpstr>
      <vt:lpstr>FunctionList!Print_Area</vt:lpstr>
      <vt:lpstr>Guideline!Print_Area</vt:lpstr>
      <vt:lpstr>'Test Report'!Print_Area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Đức Dương</cp:lastModifiedBy>
  <cp:lastPrinted>2008-03-12T04:05:49Z</cp:lastPrinted>
  <dcterms:created xsi:type="dcterms:W3CDTF">2007-10-09T09:39:48Z</dcterms:created>
  <dcterms:modified xsi:type="dcterms:W3CDTF">2026-08-12T15:02:50Z</dcterms:modified>
</cp:coreProperties>
</file>