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3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4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5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omments6.xml" ContentType="application/vnd.openxmlformats-officedocument.spreadsheetml.comments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omments7.xml" ContentType="application/vnd.openxmlformats-officedocument.spreadsheetml.comments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omments8.xml" ContentType="application/vnd.openxmlformats-officedocument.spreadsheetml.comments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omments9.xml" ContentType="application/vnd.openxmlformats-officedocument.spreadsheetml.comments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comments10.xml" ContentType="application/vnd.openxmlformats-officedocument.spreadsheetml.comments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omments11.xml" ContentType="application/vnd.openxmlformats-officedocument.spreadsheetml.comments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comments12.xml" ContentType="application/vnd.openxmlformats-officedocument.spreadsheetml.comments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comments13.xml" ContentType="application/vnd.openxmlformats-officedocument.spreadsheetml.comments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comments14.xml" ContentType="application/vnd.openxmlformats-officedocument.spreadsheetml.comments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comments15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052fcb06414c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9" r:id="R18904406552a4e7e"/>
    <x:sheet xmlns:r="http://schemas.openxmlformats.org/officeDocument/2006/relationships" name="Test Cases" sheetId="2" r:id="R3f95238756604a7b"/>
    <x:sheet xmlns:r="http://schemas.openxmlformats.org/officeDocument/2006/relationships" name="Test Statistics" sheetId="5" r:id="R1356a17e92844e1e"/>
    <x:sheet xmlns:r="http://schemas.openxmlformats.org/officeDocument/2006/relationships" name="IT01-Register" sheetId="3" r:id="Raf99c44db5344784"/>
    <x:sheet xmlns:r="http://schemas.openxmlformats.org/officeDocument/2006/relationships" name="CA-IT01-Register" sheetId="10" r:id="R0c31274557da43d8"/>
    <x:sheet xmlns:r="http://schemas.openxmlformats.org/officeDocument/2006/relationships" name="TD-IT01-Register" sheetId="11" r:id="R67c7f8558a614f66"/>
    <x:sheet xmlns:r="http://schemas.openxmlformats.org/officeDocument/2006/relationships" name="IT04-Appointment" sheetId="8" r:id="R92c26bf942fb44de"/>
    <x:sheet xmlns:r="http://schemas.openxmlformats.org/officeDocument/2006/relationships" name="MessageList" sheetId="12" r:id="Rd9f9c9d88caf461c"/>
    <x:sheet xmlns:r="http://schemas.openxmlformats.org/officeDocument/2006/relationships" name="CA-IT04-Appointment" sheetId="9" r:id="Rf690dd066b6b475d"/>
    <x:sheet xmlns:r="http://schemas.openxmlformats.org/officeDocument/2006/relationships" name="TD-IT04-Appointment" sheetId="10" r:id="Rad98dbe60637454d"/>
    <x:sheet xmlns:r="http://schemas.openxmlformats.org/officeDocument/2006/relationships" name="CA-IT09-LabResult" sheetId="11" r:id="R249beabb8fe849bd"/>
    <x:sheet xmlns:r="http://schemas.openxmlformats.org/officeDocument/2006/relationships" name="TD-IT09-LabResult" sheetId="12" r:id="R257dcdc5489b4261"/>
    <x:sheet xmlns:r="http://schemas.openxmlformats.org/officeDocument/2006/relationships" name="IT09-LabResult" sheetId="13" r:id="Rb973231246ea4182"/>
    <x:sheet xmlns:r="http://schemas.openxmlformats.org/officeDocument/2006/relationships" name="CA-IT02-LoginToken" sheetId="14" r:id="R9a26ce12e190446b"/>
    <x:sheet xmlns:r="http://schemas.openxmlformats.org/officeDocument/2006/relationships" name="TD-IT02-LoginToken" sheetId="15" r:id="Raafbc8fb248d4a08"/>
    <x:sheet xmlns:r="http://schemas.openxmlformats.org/officeDocument/2006/relationships" name="IT02-LoginToken" sheetId="16" r:id="Ra0ff5dcfee43474a"/>
    <x:sheet xmlns:r="http://schemas.openxmlformats.org/officeDocument/2006/relationships" name="CA-IT03-Profile" sheetId="17" r:id="Rb340fc8a5cb84783"/>
    <x:sheet xmlns:r="http://schemas.openxmlformats.org/officeDocument/2006/relationships" name="TD-IT03-Profile" sheetId="18" r:id="Rdbae58d3cb8a487e"/>
    <x:sheet xmlns:r="http://schemas.openxmlformats.org/officeDocument/2006/relationships" name="IT03-Profile" sheetId="19" r:id="Rb1ab753bce624f08"/>
    <x:sheet xmlns:r="http://schemas.openxmlformats.org/officeDocument/2006/relationships" name="CA-IT05-PaymentQueue" sheetId="20" r:id="Rc63280b2762546a7"/>
    <x:sheet xmlns:r="http://schemas.openxmlformats.org/officeDocument/2006/relationships" name="TD-IT05-PaymentQueue" sheetId="21" r:id="Rc3f1bf06df5c40c6"/>
    <x:sheet xmlns:r="http://schemas.openxmlformats.org/officeDocument/2006/relationships" name="IT05-PaymentQueue" sheetId="22" r:id="Re14936b36ad041ba"/>
    <x:sheet xmlns:r="http://schemas.openxmlformats.org/officeDocument/2006/relationships" name="CA-IT06-QueueExam" sheetId="23" r:id="Rbbc54447d9f54703"/>
    <x:sheet xmlns:r="http://schemas.openxmlformats.org/officeDocument/2006/relationships" name="TD-IT06-QueueExam" sheetId="24" r:id="R6edb1e2e51f64d33"/>
    <x:sheet xmlns:r="http://schemas.openxmlformats.org/officeDocument/2006/relationships" name="IT06-QueueExam" sheetId="25" r:id="R3e7358cbd2504abc"/>
    <x:sheet xmlns:r="http://schemas.openxmlformats.org/officeDocument/2006/relationships" name="CA-IT07-Examination" sheetId="26" r:id="R4a4c2a285ccd4fcb"/>
    <x:sheet xmlns:r="http://schemas.openxmlformats.org/officeDocument/2006/relationships" name="TD-IT07-Examination" sheetId="27" r:id="R7b13692ef4564ed5"/>
    <x:sheet xmlns:r="http://schemas.openxmlformats.org/officeDocument/2006/relationships" name="IT07-Examination" sheetId="28" r:id="R4f85f21ac5b5445b"/>
    <x:sheet xmlns:r="http://schemas.openxmlformats.org/officeDocument/2006/relationships" name="CA-IT08-TestOrder" sheetId="29" r:id="Rf65e06fa52fa42b0"/>
    <x:sheet xmlns:r="http://schemas.openxmlformats.org/officeDocument/2006/relationships" name="TD-IT08-TestOrder" sheetId="30" r:id="Ra2ce30457211487e"/>
    <x:sheet xmlns:r="http://schemas.openxmlformats.org/officeDocument/2006/relationships" name="IT08-TestOrder" sheetId="31" r:id="R68bf82716e1d4f58"/>
    <x:sheet xmlns:r="http://schemas.openxmlformats.org/officeDocument/2006/relationships" name="CA-IT10-CompleteFollowup" sheetId="32" r:id="R8f0a10eadaa74355"/>
    <x:sheet xmlns:r="http://schemas.openxmlformats.org/officeDocument/2006/relationships" name="TD-IT10-CompleteFollowup" sheetId="33" r:id="R6986c030e7e847ba"/>
    <x:sheet xmlns:r="http://schemas.openxmlformats.org/officeDocument/2006/relationships" name="IT10-CompleteFollowup" sheetId="34" r:id="Rcaa9975d36b24f5e"/>
    <x:sheet xmlns:r="http://schemas.openxmlformats.org/officeDocument/2006/relationships" name="CA-IT11-InsuranceTxn" sheetId="35" r:id="Rc144978bf029401a"/>
    <x:sheet xmlns:r="http://schemas.openxmlformats.org/officeDocument/2006/relationships" name="TD-IT11-InsuranceTxn" sheetId="36" r:id="Ra0e6871a1da340dd"/>
    <x:sheet xmlns:r="http://schemas.openxmlformats.org/officeDocument/2006/relationships" name="IT11-InsuranceTxn" sheetId="37" r:id="R16bb87450cf84b93"/>
    <x:sheet xmlns:r="http://schemas.openxmlformats.org/officeDocument/2006/relationships" name="CA-IT12-StaffSchedule" sheetId="38" r:id="R72dea8b9ef4644e2"/>
    <x:sheet xmlns:r="http://schemas.openxmlformats.org/officeDocument/2006/relationships" name="TD-IT12-StaffSchedule" sheetId="39" r:id="R5e44e9f5204846ef"/>
    <x:sheet xmlns:r="http://schemas.openxmlformats.org/officeDocument/2006/relationships" name="IT12-StaffSchedule" sheetId="40" r:id="R8f23e668d297464a"/>
    <x:sheet xmlns:r="http://schemas.openxmlformats.org/officeDocument/2006/relationships" name="CA-IT13-AdminCatalog" sheetId="41" r:id="Rccd06a9972a7419b"/>
    <x:sheet xmlns:r="http://schemas.openxmlformats.org/officeDocument/2006/relationships" name="TD-IT13-AdminCatalog" sheetId="42" r:id="R84b268ee101a425e"/>
    <x:sheet xmlns:r="http://schemas.openxmlformats.org/officeDocument/2006/relationships" name="IT13-AdminCatalog" sheetId="43" r:id="Ra2d9fae3fd9b4a79"/>
    <x:sheet xmlns:r="http://schemas.openxmlformats.org/officeDocument/2006/relationships" name="CA-IT14-NotifyChat" sheetId="44" r:id="R43f325fd64424a87"/>
    <x:sheet xmlns:r="http://schemas.openxmlformats.org/officeDocument/2006/relationships" name="TD-IT14-NotifyChat" sheetId="45" r:id="Rb6422d5f2e114e98"/>
    <x:sheet xmlns:r="http://schemas.openxmlformats.org/officeDocument/2006/relationships" name="IT14-NotifyChat" sheetId="46" r:id="Ra6d0ec1a3fd94d9a"/>
    <x:sheet xmlns:r="http://schemas.openxmlformats.org/officeDocument/2006/relationships" name="CA-IT15-JourneyReport" sheetId="47" r:id="Rea7c045312414d03"/>
    <x:sheet xmlns:r="http://schemas.openxmlformats.org/officeDocument/2006/relationships" name="TD-IT15-JourneyReport" sheetId="48" r:id="R92b1402016454dc4"/>
    <x:sheet xmlns:r="http://schemas.openxmlformats.org/officeDocument/2006/relationships" name="IT15-JourneyReport" sheetId="49" r:id="Rf4fa339efe034bf8"/>
  </x:sheets>
</x:workbook>
</file>

<file path=xl/comments1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2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3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4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5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6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7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8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9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10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11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12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13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14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15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<x:sst xmlns:x="http://schemas.openxmlformats.org/spreadsheetml/2006/main">
  <x:si>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TEST REPORT DOCUMENT</x:t>
  </x:si>
  <x:si>
    <x:t xml:space="preserve">Project Name</x:t>
  </x:si>
  <x:si>
    <x:t xml:space="preserve">Creator</x:t>
  </x:si>
  <x:si>
    <x:t xml:space="preserve">Project Code</x:t>
  </x:si>
  <x:si>
    <x:t xml:space="preserve">Issue Date</x:t>
  </x:si>
  <x:si>
    <x:t xml:space="preserve">Document Code</x:t>
  </x:si>
  <x:si>
    <x:t xml:space="preserve">Version</x:t>
  </x:si>
  <x:si>
    <x:t xml:space="preserve">Record of change</x:t>
  </x:si>
  <x:si>
    <x:t xml:space="preserve">Effective Date</x:t>
  </x:si>
  <x:si>
    <x:t xml:space="preserve">Change Item</x:t>
  </x:si>
  <x:si>
    <x:t xml:space="preserve">*A,D,M</x:t>
  </x:si>
  <x:si>
    <x:t xml:space="preserve">Change description</x:t>
  </x:si>
  <x:si>
    <x:t xml:space="preserve">Reference</x:t>
  </x:si>
  <x:si>
    <x:t xml:space="preserve">TEST CASE LIST</x:t>
  </x:si>
  <x:si>
    <x:t xml:space="preserve">Test Environment Setup Description</x:t>
  </x:si>
  <x:si>
    <x:t xml:space="preserve">No</x:t>
  </x:si>
  <x:si>
    <x:t xml:space="preserve">Function Name</x:t>
  </x:si>
  <x:si>
    <x:t xml:space="preserve">Sheet Name</x:t>
  </x:si>
  <x:si>
    <x:t xml:space="preserve">Description</x:t>
  </x:si>
  <x:si>
    <x:t xml:space="preserve">Pre-Condition</x:t>
  </x:si>
  <x:si>
    <x:t xml:space="preserve">TEST STATISTICS</x:t>
  </x:si>
  <x:si>
    <x:t xml:space="preserve">Reviewer/Approver</x:t>
  </x:si>
  <x:si>
    <x:t xml:space="preserve">Notes</x:t>
  </x:si>
  <x:si>
    <x:t xml:space="preserve">Module code</x:t>
  </x:si>
  <x:si>
    <x:t xml:space="preserve">Passed</x:t>
  </x:si>
  <x:si>
    <x:t xml:space="preserve">Failed</x:t>
  </x:si>
  <x:si>
    <x:t xml:space="preserve">Pending</x:t>
  </x:si>
  <x:si>
    <x:t xml:space="preserve">N/A</x:t>
  </x:si>
  <x:si>
    <x:t xml:space="preserve">Number of  test cases</x:t>
  </x:si>
  <x:si>
    <x:t xml:space="preserve">Feature</x:t>
  </x:si>
  <x:si>
    <x:t xml:space="preserve">Test requirement</x:t>
  </x:si>
  <x:si>
    <x:t xml:space="preserve">Number of TCs</x:t>
  </x:si>
  <x:si>
    <x:t xml:space="preserve">Testing Round</x:t>
  </x:si>
  <x:si>
    <x:t xml:space="preserve">Round 1</x:t>
  </x:si>
  <x:si>
    <x:t xml:space="preserve">Round 2</x:t>
  </x:si>
  <x:si>
    <x:t xml:space="preserve">Round 3</x:t>
  </x:si>
  <x:si>
    <x:t xml:space="preserve">TC</x:t>
  </x:si>
  <x:si>
    <x:t xml:space="preserve">VP1, VP2, VP3, VB1, VB3</x:t>
  </x:si>
  <x:si>
    <x:t xml:space="preserve">Message ID</x:t>
  </x:si>
  <x:si>
    <x:t xml:space="preserve">Note</x:t>
  </x:si>
</x:sst>
</file>

<file path=xl/styles.xml><?xml version="1.0" encoding="utf-8"?>
<x:styleSheet xmlns:x="http://schemas.openxmlformats.org/spreadsheetml/2006/main">
  <x:numFmts count="1">
    <x:numFmt numFmtId="164" formatCode="d\-mmm\-yy;@"/>
  </x:numFmts>
  <x:fonts count="34">
    <x:font>
      <x:sz val="11"/>
      <x:name val="ＭＳ Ｐゴシック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9"/>
      <x:name val="ＭＳ ゴシック"/>
    </x:font>
    <x:font>
      <x:sz val="10"/>
      <x:name val="Tahoma"/>
    </x:font>
    <x:font>
      <x:b/>
      <x:sz val="26"/>
      <x:color indexed="10"/>
      <x:name val="Tahoma"/>
    </x:font>
    <x:font>
      <x:b/>
      <x:sz val="20"/>
      <x:color indexed="8"/>
      <x:name val="Tahoma"/>
    </x:font>
    <x:font>
      <x:b/>
      <x:sz val="10"/>
      <x:color indexed="60"/>
      <x:name val="Tahoma"/>
    </x:font>
    <x:font>
      <x:i/>
      <x:sz val="10"/>
      <x:color indexed="17"/>
      <x:name val="Tahoma"/>
    </x:font>
    <x:font>
      <x:b/>
      <x:sz val="10"/>
      <x:color indexed="9"/>
      <x:name val="Tahoma"/>
    </x:font>
    <x:font>
      <x:b/>
      <x:sz val="10"/>
      <x:color indexed="8"/>
      <x:name val="Tahoma"/>
    </x:font>
    <x:font>
      <x:b/>
      <x:sz val="10"/>
      <x:color indexed="10"/>
      <x:name val="Tahoma"/>
    </x:font>
    <x:font>
      <x:b/>
      <x:sz val="10"/>
      <x:name val="Tahoma"/>
    </x:font>
    <x:font>
      <x:sz val="10"/>
      <x:color indexed="12"/>
      <x:name val="Tahoma"/>
    </x:font>
    <x:font>
      <x:sz val="11"/>
      <x:color indexed="12"/>
      <x:name val="ＭＳ Ｐゴシック"/>
    </x:font>
    <x:font>
      <x:sz val="10"/>
      <x:color indexed="10"/>
      <x:name val="Tahoma"/>
    </x:font>
    <x:font>
      <x:sz val="10"/>
      <x:color indexed="8"/>
      <x:name val="Tahoma"/>
    </x:font>
    <x:font>
      <x:sz val="10"/>
      <x:color indexed="9"/>
      <x:name val="Tahoma"/>
    </x:font>
    <x:font>
      <x:b/>
      <x:sz val="10"/>
      <x:color indexed="12"/>
      <x:name val="Tahoma"/>
    </x:font>
    <x:font>
      <x:sz val="11"/>
      <x:name val="ＭＳ Ｐゴシック"/>
    </x:font>
    <x:font>
      <x:b/>
      <x:i/>
      <x:sz val="10"/>
      <x:name val="Tahoma"/>
    </x:font>
    <x:font>
      <x:sz val="8"/>
      <x:color rgb="FF000000"/>
      <x:name val="Tahoma"/>
    </x:font>
    <x:font>
      <x:sz val="11"/>
      <x:name val="ＭＳ Ｐゴシック"/>
    </x:font>
    <x:font>
      <x:i/>
      <x:sz val="10"/>
      <x:name val="Tahoma"/>
    </x:font>
    <x:font>
      <x:b/>
      <x:sz val="8"/>
      <x:color indexed="81"/>
      <x:name val="Tahoma"/>
    </x:font>
    <x:font>
      <x:sz val="8"/>
      <x:color indexed="81"/>
      <x:name val="Tahoma"/>
    </x:font>
    <x:font>
      <x:b/>
      <x:sz val="11"/>
      <x:color theme="1"/>
      <x:name val="Calibri"/>
    </x:font>
    <x:font>
      <x:b/>
      <x:sz val="11"/>
      <x:color rgb="FF0070C0"/>
      <x:name val="Calibri"/>
    </x:font>
    <x:font>
      <x:sz val="11"/>
      <x:color rgb="FF0070C0"/>
      <x:name val="Calibri"/>
    </x:font>
    <x:font>
      <x:b/>
      <x:sz val="8"/>
      <x:name val="Tahoma"/>
    </x:font>
    <x:font>
      <x:b/>
      <x:sz val="8"/>
      <x:color rgb="FF0070C0"/>
      <x:name val="Tahoma"/>
    </x:font>
    <x:font>
      <x:sz val="8"/>
      <x:name val="Tahoma"/>
    </x:font>
    <x:font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indexed="9"/>
      </x:patternFill>
    </x:fill>
    <x:fill>
      <x:patternFill patternType="solid">
        <x:fgColor indexed="18"/>
      </x:patternFill>
    </x:fill>
    <x:fill>
      <x:patternFill patternType="solid">
        <x:fgColor indexed="62"/>
      </x:patternFill>
    </x:fill>
    <x:fill>
      <x:patternFill patternType="solid">
        <x:fgColor indexed="27"/>
      </x:patternFill>
    </x:fill>
    <x:fill>
      <x:patternFill patternType="solid">
        <x:fgColor theme="6" tint="-0.24998"/>
      </x:patternFill>
    </x:fill>
  </x:fills>
  <x:borders count="38">
    <x:border/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hair">
        <x:color indexed="8"/>
      </x:right>
      <x:top style="thin">
        <x:color indexed="8"/>
      </x:top>
      <x:bottom style="hair">
        <x:color indexed="8"/>
      </x:bottom>
    </x:border>
    <x:border>
      <x:left style="hair">
        <x:color indexed="8"/>
      </x:left>
      <x:right style="hair">
        <x:color indexed="8"/>
      </x:right>
      <x:top style="thin">
        <x:color indexed="8"/>
      </x:top>
      <x:bottom style="hair">
        <x:color indexed="8"/>
      </x:bottom>
    </x:border>
    <x:border>
      <x:left style="hair">
        <x:color indexed="8"/>
      </x:left>
      <x:right style="thin">
        <x:color indexed="8"/>
      </x:right>
      <x:top style="thin">
        <x:color indexed="8"/>
      </x:top>
      <x:bottom style="hair">
        <x:color indexed="8"/>
      </x:bottom>
    </x:border>
    <x:border>
      <x:left style="thin">
        <x:color indexed="8"/>
      </x:left>
      <x:right style="hair">
        <x:color indexed="8"/>
      </x:right>
      <x:top style="hair">
        <x:color indexed="8"/>
      </x:top>
      <x:bottom style="hair">
        <x:color indexed="8"/>
      </x:bottom>
    </x:border>
    <x:border>
      <x:left style="hair">
        <x:color indexed="8"/>
      </x:left>
      <x:right style="hair">
        <x:color indexed="8"/>
      </x:right>
      <x:top style="hair">
        <x:color indexed="8"/>
      </x:top>
      <x:bottom style="hair">
        <x:color indexed="8"/>
      </x:bottom>
    </x:border>
    <x:border>
      <x:left style="hair">
        <x:color indexed="8"/>
      </x:left>
      <x:right style="thin">
        <x:color indexed="8"/>
      </x:right>
      <x:top style="hair">
        <x:color indexed="8"/>
      </x:top>
      <x:bottom style="hair">
        <x:color indexed="8"/>
      </x:bottom>
    </x:border>
    <x:border>
      <x:left style="thin">
        <x:color indexed="8"/>
      </x:left>
      <x:right style="hair">
        <x:color indexed="8"/>
      </x:right>
      <x:top style="hair">
        <x:color indexed="8"/>
      </x:top>
      <x:bottom style="thin">
        <x:color indexed="8"/>
      </x:bottom>
    </x:border>
    <x:border>
      <x:left style="hair">
        <x:color indexed="8"/>
      </x:left>
      <x:right style="hair">
        <x:color indexed="8"/>
      </x:right>
      <x:top style="hair">
        <x:color indexed="8"/>
      </x:top>
      <x:bottom style="thin">
        <x:color indexed="8"/>
      </x:bottom>
    </x:border>
    <x:border>
      <x:left style="hair">
        <x:color indexed="8"/>
      </x:left>
      <x:right style="thin">
        <x:color indexed="8"/>
      </x:right>
      <x:top style="hair">
        <x:color indexed="8"/>
      </x:top>
      <x:bottom style="thin">
        <x:color indexed="8"/>
      </x:bottom>
    </x:border>
    <x:border>
      <x:left style="hair">
        <x:color indexed="8"/>
      </x:left>
      <x:top style="thin">
        <x:color indexed="8"/>
      </x:top>
      <x:bottom style="hair">
        <x:color indexed="8"/>
      </x:bottom>
    </x:border>
    <x:border>
      <x:left style="thin">
        <x:color indexed="8"/>
      </x:left>
      <x:top style="thin">
        <x:color indexed="8"/>
      </x:top>
      <x:bottom style="thin">
        <x:color indexed="8"/>
      </x:bottom>
    </x:border>
    <x:border>
      <x:top style="thin">
        <x:color indexed="8"/>
      </x:top>
      <x:bottom style="thin">
        <x:color indexed="8"/>
      </x:bottom>
    </x:border>
    <x:border>
      <x:right style="medium">
        <x:color indexed="8"/>
      </x:right>
    </x:border>
    <x:border>
      <x:right style="hair">
        <x:color indexed="8"/>
      </x:right>
      <x:top style="thin">
        <x:color indexed="8"/>
      </x:top>
      <x:bottom style="hair">
        <x:color indexed="8"/>
      </x:bottom>
    </x:border>
    <x:border>
      <x:left style="hair">
        <x:color indexed="8"/>
      </x:left>
      <x:right style="medium">
        <x:color indexed="8"/>
      </x:right>
      <x:top style="thin">
        <x:color indexed="8"/>
      </x:top>
      <x:bottom style="hair">
        <x:color indexed="8"/>
      </x:bottom>
    </x:border>
    <x:border>
      <x:right style="hair">
        <x:color indexed="8"/>
      </x:right>
      <x:top style="hair">
        <x:color indexed="8"/>
      </x:top>
      <x:bottom style="hair">
        <x:color indexed="8"/>
      </x:bottom>
    </x:border>
    <x:border>
      <x:left style="hair">
        <x:color indexed="8"/>
      </x:left>
      <x:top style="hair">
        <x:color indexed="8"/>
      </x:top>
      <x:bottom style="hair">
        <x:color indexed="8"/>
      </x:bottom>
    </x:border>
    <x:border>
      <x:left style="hair">
        <x:color indexed="8"/>
      </x:left>
      <x:right style="medium">
        <x:color indexed="8"/>
      </x:right>
      <x:top style="hair">
        <x:color indexed="8"/>
      </x:top>
      <x:bottom style="hair">
        <x:color indexed="8"/>
      </x:bottom>
    </x:border>
    <x:border>
      <x:right style="hair">
        <x:color indexed="8"/>
      </x:right>
      <x:top style="hair">
        <x:color indexed="8"/>
      </x:top>
      <x:bottom style="thin">
        <x:color indexed="8"/>
      </x:bottom>
    </x:border>
    <x:border>
      <x:left style="hair">
        <x:color indexed="8"/>
      </x:left>
      <x:right style="medium">
        <x:color indexed="8"/>
      </x:right>
      <x:top style="hair">
        <x:color indexed="8"/>
      </x:top>
      <x:bottom style="thin">
        <x:color indexed="8"/>
      </x:bottom>
    </x:border>
    <x:border>
      <x:left style="thin">
        <x:color indexed="8"/>
      </x:left>
      <x:bottom style="thin">
        <x:color indexed="8"/>
      </x:bottom>
    </x:border>
    <x:border>
      <x:bottom style="thin">
        <x:color indexed="8"/>
      </x:bottom>
    </x:border>
    <x:border>
      <x:right style="thin">
        <x:color indexed="8"/>
      </x:right>
      <x:bottom style="thin">
        <x:color indexed="8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7">
    <x:xf numFmtId="0" fontId="0" fillId="0" borderId="0"/>
    <x:xf numFmtId="0" fontId="15" fillId="0" borderId="0" applyNumberFormat="0" applyFill="0" applyBorder="0" applyAlignment="0" applyProtection="0"/>
    <x:xf numFmtId="0" fontId="20" fillId="0" borderId="0"/>
    <x:xf numFmtId="0" fontId="20" fillId="0" borderId="0"/>
    <x:xf numFmtId="0" fontId="4" fillId="0" borderId="0"/>
    <x:xf numFmtId="0" fontId="23" fillId="0" borderId="0"/>
    <x:xf numFmtId="0" fontId="3" fillId="0" borderId="0"/>
  </x:cellStyleXfs>
  <x:cellXfs count="180">
    <x:xf numFmtId="0" fontId="0" fillId="0" borderId="0" xfId="0"/>
    <x:xf numFmtId="0" fontId="5" fillId="2" borderId="0" xfId="0" applyFont="1" applyFill="1"/>
    <x:xf numFmtId="0" fontId="8" fillId="2" borderId="1" xfId="0" applyFont="1" applyFill="1" applyBorder="1" applyAlignment="1">
      <x:alignment horizontal="left" vertical="center"/>
    </x:xf>
    <x:xf numFmtId="1" fontId="5" fillId="2" borderId="0" xfId="0" applyNumberFormat="1" applyFont="1" applyFill="1"/>
    <x:xf numFmtId="0" fontId="5" fillId="2" borderId="0" xfId="0" applyFont="1" applyFill="1" applyAlignment="1">
      <x:alignment horizontal="left"/>
    </x:xf>
    <x:xf numFmtId="1" fontId="5" fillId="2" borderId="0" xfId="0" applyNumberFormat="1" applyFont="1" applyFill="1"/>
    <x:xf numFmtId="0" fontId="7" fillId="2" borderId="0" xfId="0" applyFont="1" applyFill="1" applyAlignment="1">
      <x:alignment horizontal="left"/>
    </x:xf>
    <x:xf numFmtId="0" fontId="11" fillId="2" borderId="0" xfId="0" applyFont="1" applyFill="1" applyAlignment="1">
      <x:alignment horizontal="left"/>
    </x:xf>
    <x:xf numFmtId="0" fontId="12" fillId="2" borderId="0" xfId="0" applyFont="1" applyFill="1" applyAlignment="1">
      <x:alignment horizontal="left"/>
    </x:xf>
    <x:xf numFmtId="0" fontId="5" fillId="2" borderId="0" xfId="0" applyFont="1" applyFill="1" applyAlignment="1">
      <x:alignment wrapText="1"/>
    </x:xf>
    <x:xf numFmtId="1" fontId="8" fillId="2" borderId="0" xfId="0" applyNumberFormat="1" applyFont="1" applyFill="1"/>
    <x:xf numFmtId="0" fontId="5" fillId="2" borderId="0" xfId="0" applyFont="1" applyFill="1" applyAlignment="1">
      <x:alignment vertical="center"/>
    </x:xf>
    <x:xf numFmtId="1" fontId="5" fillId="2" borderId="0" xfId="0" applyNumberFormat="1" applyFont="1" applyFill="1" applyAlignment="1">
      <x:alignment vertical="center"/>
    </x:xf>
    <x:xf numFmtId="0" fontId="5" fillId="2" borderId="0" xfId="0" applyFont="1" applyFill="1" applyAlignment="1">
      <x:alignment horizontal="left" vertical="center"/>
    </x:xf>
    <x:xf numFmtId="0" fontId="13" fillId="2" borderId="0" xfId="0" applyFont="1" applyFill="1" applyAlignment="1">
      <x:alignment horizontal="center"/>
    </x:xf>
    <x:xf numFmtId="1" fontId="10" fillId="4" borderId="3" xfId="0" applyNumberFormat="1" applyFont="1" applyFill="1" applyBorder="1" applyAlignment="1">
      <x:alignment horizontal="center" vertical="center"/>
    </x:xf>
    <x:xf numFmtId="0" fontId="10" fillId="4" borderId="4" xfId="0" applyFont="1" applyFill="1" applyBorder="1" applyAlignment="1">
      <x:alignment horizontal="center" vertical="center"/>
    </x:xf>
    <x:xf numFmtId="0" fontId="10" fillId="4" borderId="12" xfId="0" applyFont="1" applyFill="1" applyBorder="1" applyAlignment="1">
      <x:alignment horizontal="center" vertical="center"/>
    </x:xf>
    <x:xf numFmtId="0" fontId="10" fillId="4" borderId="5" xfId="0" applyFont="1" applyFill="1" applyBorder="1" applyAlignment="1">
      <x:alignment horizontal="center" vertical="center"/>
    </x:xf>
    <x:xf numFmtId="1" fontId="5" fillId="2" borderId="6" xfId="0" applyNumberFormat="1" applyFont="1" applyFill="1" applyBorder="1" applyAlignment="1">
      <x:alignment vertical="center"/>
    </x:xf>
    <x:xf numFmtId="49" fontId="5" fillId="2" borderId="7" xfId="0" applyNumberFormat="1" applyFont="1" applyFill="1" applyBorder="1" applyAlignment="1">
      <x:alignment horizontal="left" vertical="center"/>
    </x:xf>
    <x:xf numFmtId="0" fontId="14" fillId="2" borderId="7" xfId="1" applyNumberFormat="1" applyFont="1" applyFill="1" applyBorder="1" applyAlignment="1">
      <x:alignment horizontal="left" vertical="center"/>
    </x:xf>
    <x:xf numFmtId="0" fontId="5" fillId="2" borderId="8" xfId="0" applyFont="1" applyFill="1" applyBorder="1" applyAlignment="1">
      <x:alignment horizontal="left" vertical="center"/>
    </x:xf>
    <x:xf numFmtId="0" fontId="5" fillId="2" borderId="7" xfId="0" applyFont="1" applyFill="1" applyBorder="1" applyAlignment="1">
      <x:alignment horizontal="left" vertical="center"/>
    </x:xf>
    <x:xf numFmtId="1" fontId="5" fillId="2" borderId="9" xfId="0" applyNumberFormat="1" applyFont="1" applyFill="1" applyBorder="1" applyAlignment="1">
      <x:alignment vertical="center"/>
    </x:xf>
    <x:xf numFmtId="49" fontId="5" fillId="2" borderId="10" xfId="0" applyNumberFormat="1" applyFont="1" applyFill="1" applyBorder="1" applyAlignment="1">
      <x:alignment horizontal="left" vertical="center"/>
    </x:xf>
    <x:xf numFmtId="0" fontId="5" fillId="2" borderId="10" xfId="0" applyFont="1" applyFill="1" applyBorder="1" applyAlignment="1">
      <x:alignment horizontal="left" vertical="center"/>
    </x:xf>
    <x:xf numFmtId="0" fontId="5" fillId="2" borderId="11" xfId="0" applyFont="1" applyFill="1" applyBorder="1" applyAlignment="1">
      <x:alignment horizontal="left" vertical="center"/>
    </x:xf>
    <x:xf numFmtId="0" fontId="16" fillId="2" borderId="0" xfId="0" applyFont="1" applyFill="1"/>
    <x:xf numFmtId="0" fontId="16" fillId="2" borderId="0" xfId="0" applyFont="1" applyFill="1" applyAlignment="1">
      <x:alignment wrapText="1"/>
    </x:xf>
    <x:xf numFmtId="0" fontId="17" fillId="2" borderId="0" xfId="0" applyFont="1" applyFill="1"/>
    <x:xf numFmtId="0" fontId="5" fillId="2" borderId="0" xfId="0" applyFont="1" applyFill="1" applyAlignment="1">
      <x:alignment horizontal="center" wrapText="1"/>
    </x:xf>
    <x:xf numFmtId="0" fontId="16" fillId="2" borderId="0" xfId="0" applyFont="1" applyFill="1" applyAlignment="1">
      <x:alignment horizontal="center" wrapText="1"/>
    </x:xf>
    <x:xf numFmtId="0" fontId="17" fillId="2" borderId="0" xfId="0" applyFont="1" applyFill="1" applyAlignment="1">
      <x:alignment horizontal="center" wrapText="1"/>
    </x:xf>
    <x:xf numFmtId="0" fontId="12" fillId="2" borderId="0" xfId="3" applyFont="1" applyFill="1" applyAlignment="1">
      <x:alignment horizontal="center" vertical="center" wrapText="1"/>
    </x:xf>
    <x:xf numFmtId="0" fontId="13" fillId="5" borderId="13" xfId="3" applyFont="1" applyFill="1" applyBorder="1" applyAlignment="1">
      <x:alignment horizontal="left" vertical="center"/>
    </x:xf>
    <x:xf numFmtId="0" fontId="13" fillId="5" borderId="14" xfId="3" applyFont="1" applyFill="1" applyBorder="1" applyAlignment="1">
      <x:alignment horizontal="left" vertical="center"/>
    </x:xf>
    <x:xf numFmtId="0" fontId="13" fillId="5" borderId="2" xfId="3" applyFont="1" applyFill="1" applyBorder="1" applyAlignment="1">
      <x:alignment horizontal="left" vertical="center"/>
    </x:xf>
    <x:xf numFmtId="0" fontId="12" fillId="2" borderId="0" xfId="3" applyFont="1" applyFill="1" applyAlignment="1">
      <x:alignment horizontal="left" vertical="center"/>
    </x:xf>
    <x:xf numFmtId="0" fontId="5" fillId="2" borderId="1" xfId="3" applyFont="1" applyFill="1" applyBorder="1" applyAlignment="1">
      <x:alignment vertical="top" wrapText="1"/>
    </x:xf>
    <x:xf numFmtId="0" fontId="9" fillId="2" borderId="1" xfId="3" applyFont="1" applyFill="1" applyBorder="1" applyAlignment="1">
      <x:alignment vertical="top" wrapText="1"/>
    </x:xf>
    <x:xf numFmtId="0" fontId="9" fillId="2" borderId="1" xfId="0" applyFont="1" applyFill="1" applyBorder="1" applyAlignment="1">
      <x:alignment horizontal="left" vertical="top" wrapText="1"/>
    </x:xf>
    <x:xf numFmtId="0" fontId="5" fillId="2" borderId="1" xfId="0" applyFont="1" applyFill="1" applyBorder="1" applyAlignment="1">
      <x:alignment vertical="top" wrapText="1"/>
    </x:xf>
    <x:xf numFmtId="0" fontId="16" fillId="2" borderId="0" xfId="0" applyFont="1" applyFill="1" applyAlignment="1">
      <x:alignment vertical="top" wrapText="1"/>
    </x:xf>
    <x:xf numFmtId="0" fontId="17" fillId="2" borderId="0" xfId="0" applyFont="1" applyFill="1" applyAlignment="1">
      <x:alignment vertical="top"/>
    </x:xf>
    <x:xf numFmtId="0" fontId="17" fillId="2" borderId="1" xfId="0" applyFont="1" applyFill="1" applyBorder="1" applyAlignment="1">
      <x:alignment horizontal="left" vertical="top" wrapText="1"/>
    </x:xf>
    <x:xf numFmtId="0" fontId="5" fillId="2" borderId="1" xfId="0" applyFont="1" applyFill="1" applyBorder="1"/>
    <x:xf numFmtId="0" fontId="13" fillId="2" borderId="0" xfId="2" applyFont="1" applyFill="1"/>
    <x:xf numFmtId="0" fontId="5" fillId="2" borderId="0" xfId="2" applyFont="1" applyFill="1"/>
    <x:xf numFmtId="164" fontId="5" fillId="2" borderId="0" xfId="2" applyNumberFormat="1" applyFont="1" applyFill="1"/>
    <x:xf numFmtId="0" fontId="8" fillId="2" borderId="2" xfId="0" applyFont="1" applyFill="1" applyBorder="1" applyAlignment="1">
      <x:alignment horizontal="left"/>
    </x:xf>
    <x:xf numFmtId="0" fontId="5" fillId="2" borderId="2" xfId="0" applyFont="1" applyFill="1" applyBorder="1" applyAlignment="1">
      <x:alignment vertical="top"/>
    </x:xf>
    <x:xf numFmtId="0" fontId="8" fillId="2" borderId="1" xfId="0" applyFont="1" applyFill="1" applyBorder="1" applyAlignment="1">
      <x:alignment vertical="center"/>
    </x:xf>
    <x:xf numFmtId="0" fontId="9" fillId="2" borderId="2" xfId="0" applyFont="1" applyFill="1" applyBorder="1" applyAlignment="1">
      <x:alignment vertical="top"/>
    </x:xf>
    <x:xf numFmtId="0" fontId="8" fillId="2" borderId="0" xfId="0" applyFont="1" applyFill="1"/>
    <x:xf numFmtId="0" fontId="9" fillId="2" borderId="0" xfId="2" applyFont="1" applyFill="1"/>
    <x:xf numFmtId="0" fontId="5" fillId="2" borderId="15" xfId="0" applyFont="1" applyFill="1" applyBorder="1"/>
    <x:xf numFmtId="0" fontId="10" fillId="3" borderId="16" xfId="0" applyFont="1" applyFill="1" applyBorder="1" applyAlignment="1">
      <x:alignment horizontal="center"/>
    </x:xf>
    <x:xf numFmtId="0" fontId="10" fillId="3" borderId="4" xfId="0" applyFont="1" applyFill="1" applyBorder="1" applyAlignment="1">
      <x:alignment horizontal="center"/>
    </x:xf>
    <x:xf numFmtId="0" fontId="10" fillId="3" borderId="4" xfId="0" applyFont="1" applyFill="1" applyBorder="1" applyAlignment="1">
      <x:alignment horizontal="center" wrapText="1"/>
    </x:xf>
    <x:xf numFmtId="0" fontId="10" fillId="3" borderId="12" xfId="0" applyFont="1" applyFill="1" applyBorder="1" applyAlignment="1">
      <x:alignment horizontal="center"/>
    </x:xf>
    <x:xf numFmtId="0" fontId="10" fillId="3" borderId="17" xfId="0" applyFont="1" applyFill="1" applyBorder="1" applyAlignment="1">
      <x:alignment horizontal="center" wrapText="1"/>
    </x:xf>
    <x:xf numFmtId="0" fontId="5" fillId="2" borderId="18" xfId="0" applyFont="1" applyFill="1" applyBorder="1" applyAlignment="1">
      <x:alignment horizontal="center"/>
    </x:xf>
    <x:xf numFmtId="0" fontId="5" fillId="2" borderId="7" xfId="0" applyFont="1" applyFill="1" applyBorder="1"/>
    <x:xf numFmtId="0" fontId="5" fillId="2" borderId="7" xfId="0" applyFont="1" applyFill="1" applyBorder="1" applyAlignment="1">
      <x:alignment horizontal="center"/>
    </x:xf>
    <x:xf numFmtId="0" fontId="5" fillId="2" borderId="19" xfId="0" applyFont="1" applyFill="1" applyBorder="1" applyAlignment="1">
      <x:alignment horizontal="center"/>
    </x:xf>
    <x:xf numFmtId="0" fontId="5" fillId="2" borderId="20" xfId="0" applyFont="1" applyFill="1" applyBorder="1" applyAlignment="1">
      <x:alignment horizontal="center"/>
    </x:xf>
    <x:xf numFmtId="0" fontId="18" fillId="3" borderId="21" xfId="0" applyFont="1" applyFill="1" applyBorder="1" applyAlignment="1">
      <x:alignment horizontal="center"/>
    </x:xf>
    <x:xf numFmtId="0" fontId="10" fillId="3" borderId="10" xfId="0" applyFont="1" applyFill="1" applyBorder="1"/>
    <x:xf numFmtId="0" fontId="18" fillId="3" borderId="10" xfId="0" applyFont="1" applyFill="1" applyBorder="1" applyAlignment="1">
      <x:alignment horizontal="center"/>
    </x:xf>
    <x:xf numFmtId="0" fontId="18" fillId="3" borderId="22" xfId="0" applyFont="1" applyFill="1" applyBorder="1" applyAlignment="1">
      <x:alignment horizontal="center"/>
    </x:xf>
    <x:xf numFmtId="0" fontId="5" fillId="2" borderId="0" xfId="0" applyFont="1" applyFill="1" applyAlignment="1">
      <x:alignment horizontal="center"/>
    </x:xf>
    <x:xf numFmtId="10" fontId="5" fillId="2" borderId="0" xfId="0" applyNumberFormat="1" applyFont="1" applyFill="1" applyAlignment="1">
      <x:alignment horizontal="center"/>
    </x:xf>
    <x:xf numFmtId="9" fontId="5" fillId="2" borderId="0" xfId="0" applyNumberFormat="1" applyFont="1" applyFill="1" applyAlignment="1">
      <x:alignment horizontal="center"/>
    </x:xf>
    <x:xf numFmtId="0" fontId="8" fillId="2" borderId="0" xfId="0" applyFont="1" applyFill="1" applyAlignment="1">
      <x:alignment horizontal="left"/>
    </x:xf>
    <x:xf numFmtId="2" fontId="19" fillId="2" borderId="0" xfId="0" applyNumberFormat="1" applyFont="1" applyFill="1" applyAlignment="1">
      <x:alignment horizontal="right" wrapText="1"/>
    </x:xf>
    <x:xf numFmtId="0" fontId="9" fillId="2" borderId="0" xfId="3" applyFont="1" applyFill="1" applyAlignment="1">
      <x:alignment horizontal="left" wrapText="1"/>
    </x:xf>
    <x:xf numFmtId="0" fontId="11" fillId="2" borderId="0" xfId="0" applyFont="1" applyFill="1" applyAlignment="1">
      <x:alignment horizontal="center" vertical="center" wrapText="1"/>
    </x:xf>
    <x:xf numFmtId="0" fontId="17" fillId="2" borderId="0" xfId="0" applyFont="1" applyFill="1" applyAlignment="1">
      <x:alignment horizontal="center" vertical="center" wrapText="1"/>
    </x:xf>
    <x:xf numFmtId="0" fontId="13" fillId="5" borderId="23" xfId="3" applyFont="1" applyFill="1" applyBorder="1" applyAlignment="1">
      <x:alignment horizontal="left" vertical="center"/>
    </x:xf>
    <x:xf numFmtId="0" fontId="13" fillId="5" borderId="24" xfId="3" applyFont="1" applyFill="1" applyBorder="1" applyAlignment="1">
      <x:alignment horizontal="left" vertical="center"/>
    </x:xf>
    <x:xf numFmtId="0" fontId="13" fillId="5" borderId="25" xfId="3" applyFont="1" applyFill="1" applyBorder="1" applyAlignment="1">
      <x:alignment horizontal="left" vertical="center"/>
    </x:xf>
    <x:xf numFmtId="0" fontId="9" fillId="2" borderId="0" xfId="3" applyFont="1" applyFill="1" applyAlignment="1">
      <x:alignment wrapText="1"/>
    </x:xf>
    <x:xf numFmtId="0" fontId="10" fillId="6" borderId="26" xfId="3" applyFont="1" applyFill="1" applyBorder="1" applyAlignment="1">
      <x:alignment horizontal="center" vertical="center" wrapText="1"/>
    </x:xf>
    <x:xf numFmtId="0" fontId="21" fillId="2" borderId="26" xfId="3" applyFont="1" applyFill="1" applyBorder="1" applyAlignment="1">
      <x:alignment horizontal="center" vertical="top" wrapText="1"/>
    </x:xf>
    <x:xf numFmtId="0" fontId="5" fillId="2" borderId="26" xfId="3" applyFont="1" applyFill="1" applyBorder="1" applyAlignment="1">
      <x:alignment horizontal="center" vertical="top" wrapText="1"/>
    </x:xf>
    <x:xf numFmtId="0" fontId="21" fillId="2" borderId="30" xfId="3" applyFont="1" applyFill="1" applyBorder="1" applyAlignment="1">
      <x:alignment horizontal="center" vertical="top" wrapText="1"/>
    </x:xf>
    <x:xf numFmtId="0" fontId="21" fillId="2" borderId="31" xfId="3" applyFont="1" applyFill="1" applyBorder="1" applyAlignment="1">
      <x:alignment horizontal="center" vertical="top" wrapText="1"/>
    </x:xf>
    <x:xf numFmtId="0" fontId="21" fillId="2" borderId="32" xfId="3" applyFont="1" applyFill="1" applyBorder="1" applyAlignment="1">
      <x:alignment horizontal="center" vertical="top" wrapText="1"/>
    </x:xf>
    <x:xf numFmtId="0" fontId="5" fillId="2" borderId="33" xfId="3" applyFont="1" applyFill="1" applyBorder="1" applyAlignment="1">
      <x:alignment horizontal="center" vertical="top" wrapText="1"/>
    </x:xf>
    <x:xf numFmtId="0" fontId="5" fillId="2" borderId="34" xfId="3" applyFont="1" applyFill="1" applyBorder="1" applyAlignment="1">
      <x:alignment horizontal="center" vertical="top" wrapText="1"/>
    </x:xf>
    <x:xf numFmtId="0" fontId="5" fillId="2" borderId="31" xfId="3" applyFont="1" applyFill="1" applyBorder="1" applyAlignment="1">
      <x:alignment horizontal="center" vertical="top" wrapText="1"/>
    </x:xf>
    <x:xf numFmtId="0" fontId="13" fillId="2" borderId="27" xfId="3" applyFont="1" applyFill="1" applyBorder="1" applyAlignment="1">
      <x:alignment horizontal="center" vertical="top" wrapText="1"/>
    </x:xf>
    <x:xf numFmtId="0" fontId="13" fillId="2" borderId="30" xfId="3" applyFont="1" applyFill="1" applyBorder="1" applyAlignment="1">
      <x:alignment horizontal="center" vertical="top" wrapText="1"/>
    </x:xf>
    <x:xf numFmtId="0" fontId="15" fillId="2" borderId="7" xfId="1" applyNumberFormat="1" applyFill="1" applyBorder="1" applyAlignment="1">
      <x:alignment horizontal="left" vertical="center"/>
    </x:xf>
    <x:xf numFmtId="0" fontId="6" fillId="0" borderId="13" xfId="5" applyFont="1" applyBorder="1" applyAlignment="1">
      <x:alignment horizontal="center" vertical="center"/>
    </x:xf>
    <x:xf numFmtId="0" fontId="5" fillId="0" borderId="0" xfId="5" applyFont="1" applyAlignment="1">
      <x:alignment horizontal="center" vertical="center"/>
    </x:xf>
    <x:xf numFmtId="0" fontId="8" fillId="2" borderId="0" xfId="5" applyFont="1" applyFill="1" applyAlignment="1">
      <x:alignment horizontal="left"/>
    </x:xf>
    <x:xf numFmtId="0" fontId="9" fillId="0" borderId="0" xfId="5" applyFont="1" applyAlignment="1">
      <x:alignment horizontal="left"/>
    </x:xf>
    <x:xf numFmtId="0" fontId="5" fillId="0" borderId="0" xfId="5" applyFont="1"/>
    <x:xf numFmtId="0" fontId="5" fillId="2" borderId="0" xfId="5" applyFont="1" applyFill="1"/>
    <x:xf numFmtId="0" fontId="13" fillId="2" borderId="1" xfId="5" applyFont="1" applyFill="1" applyBorder="1" applyAlignment="1">
      <x:alignment horizontal="left"/>
    </x:xf>
    <x:xf numFmtId="0" fontId="5" fillId="0" borderId="2" xfId="5" applyFont="1" applyBorder="1"/>
    <x:xf numFmtId="0" fontId="24" fillId="0" borderId="2" xfId="5" applyFont="1" applyBorder="1"/>
    <x:xf numFmtId="0" fontId="13" fillId="2" borderId="1" xfId="5" applyFont="1" applyFill="1" applyBorder="1" applyAlignment="1">
      <x:alignment vertical="center"/>
    </x:xf>
    <x:xf numFmtId="0" fontId="24" fillId="0" borderId="2" xfId="5" applyFont="1" applyBorder="1" applyAlignment="1">
      <x:alignment horizontal="left"/>
    </x:xf>
    <x:xf numFmtId="0" fontId="13" fillId="0" borderId="0" xfId="5" applyFont="1"/>
    <x:xf numFmtId="0" fontId="9" fillId="0" borderId="0" xfId="5" applyFont="1" applyAlignment="1">
      <x:alignment horizontal="left"/>
    </x:xf>
    <x:xf numFmtId="0" fontId="8" fillId="0" borderId="0" xfId="5" applyFont="1" applyAlignment="1">
      <x:alignment horizontal="left"/>
    </x:xf>
    <x:xf numFmtId="0" fontId="13" fillId="0" borderId="0" xfId="5" applyFont="1" applyAlignment="1">
      <x:alignment horizontal="left"/>
    </x:xf>
    <x:xf numFmtId="164" fontId="10" fillId="3" borderId="3" xfId="5" applyNumberFormat="1" applyFont="1" applyFill="1" applyBorder="1" applyAlignment="1">
      <x:alignment horizontal="center" vertical="center"/>
    </x:xf>
    <x:xf numFmtId="0" fontId="10" fillId="3" borderId="4" xfId="5" applyFont="1" applyFill="1" applyBorder="1" applyAlignment="1">
      <x:alignment horizontal="center" vertical="center"/>
    </x:xf>
    <x:xf numFmtId="0" fontId="10" fillId="3" borderId="5" xfId="5" applyFont="1" applyFill="1" applyBorder="1" applyAlignment="1">
      <x:alignment horizontal="center" vertical="center"/>
    </x:xf>
    <x:xf numFmtId="0" fontId="5" fillId="0" borderId="0" xfId="5" applyFont="1" applyAlignment="1">
      <x:alignment vertical="center"/>
    </x:xf>
    <x:xf numFmtId="0" fontId="24" fillId="0" borderId="6" xfId="5" applyFont="1" applyBorder="1" applyAlignment="1">
      <x:alignment vertical="top" wrapText="1"/>
    </x:xf>
    <x:xf numFmtId="49" fontId="5" fillId="0" borderId="7" xfId="5" applyNumberFormat="1" applyFont="1" applyBorder="1" applyAlignment="1">
      <x:alignment vertical="top"/>
    </x:xf>
    <x:xf numFmtId="0" fontId="5" fillId="0" borderId="7" xfId="5" applyFont="1" applyBorder="1" applyAlignment="1">
      <x:alignment vertical="top"/>
    </x:xf>
    <x:xf numFmtId="15" fontId="5" fillId="0" borderId="7" xfId="5" applyNumberFormat="1" applyFont="1" applyBorder="1" applyAlignment="1">
      <x:alignment vertical="top"/>
    </x:xf>
    <x:xf numFmtId="0" fontId="24" fillId="0" borderId="8" xfId="5" applyFont="1" applyBorder="1" applyAlignment="1">
      <x:alignment vertical="top" wrapText="1"/>
    </x:xf>
    <x:xf numFmtId="0" fontId="5" fillId="0" borderId="0" xfId="5" applyFont="1" applyAlignment="1">
      <x:alignment vertical="top"/>
    </x:xf>
    <x:xf numFmtId="164" fontId="5" fillId="0" borderId="6" xfId="5" applyNumberFormat="1" applyFont="1" applyBorder="1" applyAlignment="1">
      <x:alignment vertical="top"/>
    </x:xf>
    <x:xf numFmtId="0" fontId="5" fillId="0" borderId="8" xfId="5" applyFont="1" applyBorder="1" applyAlignment="1">
      <x:alignment vertical="top"/>
    </x:xf>
    <x:xf numFmtId="164" fontId="5" fillId="0" borderId="9" xfId="5" applyNumberFormat="1" applyFont="1" applyBorder="1" applyAlignment="1">
      <x:alignment vertical="top"/>
    </x:xf>
    <x:xf numFmtId="49" fontId="5" fillId="0" borderId="10" xfId="5" applyNumberFormat="1" applyFont="1" applyBorder="1" applyAlignment="1">
      <x:alignment vertical="top"/>
    </x:xf>
    <x:xf numFmtId="0" fontId="5" fillId="0" borderId="10" xfId="5" applyFont="1" applyBorder="1" applyAlignment="1">
      <x:alignment vertical="top"/>
    </x:xf>
    <x:xf numFmtId="0" fontId="5" fillId="0" borderId="11" xfId="5" applyFont="1" applyBorder="1" applyAlignment="1">
      <x:alignment vertical="top"/>
    </x:xf>
    <x:xf numFmtId="0" fontId="5" fillId="0" borderId="0" xfId="5" applyFont="1" applyAlignment="1">
      <x:alignment horizontal="left"/>
    </x:xf>
    <x:xf numFmtId="0" fontId="3" fillId="0" borderId="0" xfId="6"/>
    <x:xf numFmtId="0" fontId="28" fillId="0" borderId="26" xfId="6" applyFont="1" applyBorder="1" applyAlignment="1">
      <x:alignment vertical="center"/>
    </x:xf>
    <x:xf numFmtId="0" fontId="29" fillId="0" borderId="26" xfId="6" applyFont="1" applyBorder="1" applyAlignment="1">
      <x:alignment horizontal="center" vertical="center"/>
    </x:xf>
    <x:xf numFmtId="0" fontId="29" fillId="0" borderId="26" xfId="6" applyFont="1" applyBorder="1" applyAlignment="1">
      <x:alignment horizontal="center" vertical="center" wrapText="1"/>
    </x:xf>
    <x:xf numFmtId="0" fontId="28" fillId="0" borderId="26" xfId="6" applyFont="1" applyBorder="1" applyAlignment="1">
      <x:alignment horizontal="center" vertical="center"/>
    </x:xf>
    <x:xf numFmtId="0" fontId="29" fillId="0" borderId="0" xfId="6" applyFont="1" applyAlignment="1">
      <x:alignment vertical="center"/>
    </x:xf>
    <x:xf numFmtId="0" fontId="28" fillId="0" borderId="26" xfId="6" applyFont="1" applyBorder="1" applyAlignment="1">
      <x:alignment horizontal="center"/>
    </x:xf>
    <x:xf numFmtId="0" fontId="29" fillId="0" borderId="26" xfId="6" applyFont="1" applyBorder="1" applyAlignment="1">
      <x:alignment vertical="center"/>
    </x:xf>
    <x:xf numFmtId="0" fontId="29" fillId="0" borderId="26" xfId="6" applyFont="1" applyBorder="1"/>
    <x:xf numFmtId="0" fontId="29" fillId="0" borderId="0" xfId="6" applyFont="1" applyAlignment="1">
      <x:alignment horizontal="center" vertical="center"/>
    </x:xf>
    <x:xf numFmtId="0" fontId="3" fillId="0" borderId="26" xfId="6" applyBorder="1"/>
    <x:xf numFmtId="0" fontId="27" fillId="0" borderId="26" xfId="6" applyFont="1" applyBorder="1"/>
    <x:xf numFmtId="0" fontId="3" fillId="0" borderId="26" xfId="6" applyBorder="1" applyAlignment="1">
      <x:alignment horizontal="center" vertical="center"/>
    </x:xf>
    <x:xf numFmtId="0" fontId="30" fillId="0" borderId="0" xfId="5" applyFont="1"/>
    <x:xf numFmtId="0" fontId="31" fillId="0" borderId="0" xfId="5" applyFont="1"/>
    <x:xf numFmtId="0" fontId="32" fillId="0" borderId="0" xfId="5" applyFont="1"/>
    <x:xf numFmtId="0" fontId="30" fillId="0" borderId="0" xfId="5" applyFont="1" applyAlignment="1">
      <x:alignment horizontal="center"/>
    </x:xf>
    <x:xf numFmtId="0" fontId="30" fillId="0" borderId="0" xfId="5" applyFont="1" applyAlignment="1">
      <x:alignment horizontal="left"/>
    </x:xf>
    <x:xf numFmtId="0" fontId="30" fillId="0" borderId="0" xfId="5" applyFont="1" applyAlignment="1">
      <x:alignment horizontal="right"/>
    </x:xf>
    <x:xf numFmtId="49" fontId="32" fillId="0" borderId="0" xfId="5" applyNumberFormat="1" applyFont="1" applyAlignment="1">
      <x:alignment horizontal="center"/>
    </x:xf>
    <x:xf numFmtId="0" fontId="32" fillId="0" borderId="0" xfId="5" applyFont="1" applyAlignment="1">
      <x:alignment horizontal="left"/>
    </x:xf>
    <x:xf numFmtId="0" fontId="32" fillId="0" borderId="0" xfId="5" applyFont="1" applyAlignment="1">
      <x:alignment horizontal="right"/>
    </x:xf>
    <x:xf numFmtId="0" fontId="32" fillId="0" borderId="0" xfId="5" applyFont="1" applyAlignment="1">
      <x:alignment horizontal="center"/>
    </x:xf>
    <x:xf numFmtId="0" fontId="29" fillId="0" borderId="26" xfId="6" applyFont="1" applyBorder="1" applyAlignment="1">
      <x:alignment horizontal="center" vertical="top"/>
    </x:xf>
    <x:xf numFmtId="0" fontId="29" fillId="0" borderId="26" xfId="6" applyFont="1" applyBorder="1" applyAlignment="1">
      <x:alignment vertical="top" wrapText="1"/>
    </x:xf>
    <x:xf numFmtId="0" fontId="3" fillId="0" borderId="26" xfId="6" applyBorder="1" applyAlignment="1">
      <x:alignment horizontal="center"/>
    </x:xf>
    <x:xf numFmtId="0" fontId="33" fillId="0" borderId="0" xfId="0" applyFont="1"/>
    <x:xf numFmtId="0" fontId="33" fillId="0" borderId="26" xfId="0" applyFont="1" applyBorder="1"/>
    <x:xf numFmtId="0" fontId="2" fillId="0" borderId="26" xfId="6" applyFont="1" applyBorder="1" applyAlignment="1">
      <x:alignment wrapText="1"/>
    </x:xf>
    <x:xf numFmtId="0" fontId="7" fillId="0" borderId="1" xfId="5" applyFont="1" applyBorder="1" applyAlignment="1">
      <x:alignment horizontal="center" vertical="center"/>
    </x:xf>
    <x:xf numFmtId="0" fontId="24" fillId="0" borderId="1" xfId="5" applyFont="1" applyBorder="1" applyAlignment="1">
      <x:alignment horizontal="left"/>
    </x:xf>
    <x:xf numFmtId="0" fontId="24" fillId="0" borderId="13" xfId="5" applyFont="1" applyBorder="1" applyAlignment="1">
      <x:alignment horizontal="left" vertical="center"/>
    </x:xf>
    <x:xf numFmtId="0" fontId="24" fillId="0" borderId="14" xfId="5" applyFont="1" applyBorder="1" applyAlignment="1">
      <x:alignment horizontal="left" vertical="center"/>
    </x:xf>
    <x:xf numFmtId="0" fontId="24" fillId="0" borderId="2" xfId="5" applyFont="1" applyBorder="1" applyAlignment="1">
      <x:alignment horizontal="left" vertical="center"/>
    </x:xf>
    <x:xf numFmtId="1" fontId="8" fillId="2" borderId="1" xfId="0" applyNumberFormat="1" applyFont="1" applyFill="1" applyBorder="1" applyAlignment="1">
      <x:alignment vertical="center" wrapText="1"/>
    </x:xf>
    <x:xf numFmtId="0" fontId="9" fillId="2" borderId="1" xfId="0" applyFont="1" applyFill="1" applyBorder="1" applyAlignment="1">
      <x:alignment vertical="top" wrapText="1"/>
    </x:xf>
    <x:xf numFmtId="1" fontId="8" fillId="2" borderId="13" xfId="0" applyNumberFormat="1" applyFont="1" applyFill="1" applyBorder="1"/>
    <x:xf numFmtId="0" fontId="9" fillId="2" borderId="1" xfId="0" applyFont="1" applyFill="1" applyBorder="1" applyAlignment="1">
      <x:alignment horizontal="left"/>
    </x:xf>
    <x:xf numFmtId="0" fontId="8" fillId="2" borderId="1" xfId="0" applyFont="1" applyFill="1" applyBorder="1" applyAlignment="1">
      <x:alignment horizontal="left"/>
    </x:xf>
    <x:xf numFmtId="0" fontId="9" fillId="2" borderId="1" xfId="2" applyFont="1" applyFill="1" applyBorder="1" applyAlignment="1">
      <x:alignment vertical="top"/>
    </x:xf>
    <x:xf numFmtId="0" fontId="7" fillId="2" borderId="0" xfId="2" applyFont="1" applyFill="1" applyAlignment="1">
      <x:alignment horizontal="center"/>
    </x:xf>
    <x:xf numFmtId="0" fontId="5" fillId="2" borderId="28" xfId="3" applyFont="1" applyFill="1" applyBorder="1" applyAlignment="1">
      <x:alignment horizontal="left" vertical="top" wrapText="1"/>
    </x:xf>
    <x:xf numFmtId="0" fontId="5" fillId="2" borderId="29" xfId="3" applyFont="1" applyFill="1" applyBorder="1" applyAlignment="1">
      <x:alignment horizontal="left" vertical="top" wrapText="1"/>
    </x:xf>
    <x:xf numFmtId="0" fontId="5" fillId="2" borderId="26" xfId="3" applyFont="1" applyFill="1" applyBorder="1" applyAlignment="1">
      <x:alignment horizontal="left" vertical="top" wrapText="1"/>
    </x:xf>
    <x:xf numFmtId="0" fontId="5" fillId="2" borderId="31" xfId="3" applyFont="1" applyFill="1" applyBorder="1" applyAlignment="1">
      <x:alignment horizontal="left" vertical="top" wrapText="1"/>
    </x:xf>
    <x:xf numFmtId="0" fontId="27" fillId="0" borderId="0" xfId="6" applyFont="1" applyAlignment="1">
      <x:alignment horizontal="left"/>
    </x:xf>
    <x:xf numFmtId="0" fontId="28" fillId="0" borderId="35" xfId="6" applyFont="1" applyBorder="1" applyAlignment="1">
      <x:alignment horizontal="center" vertical="center"/>
    </x:xf>
    <x:xf numFmtId="0" fontId="28" fillId="0" borderId="36" xfId="6" applyFont="1" applyBorder="1" applyAlignment="1">
      <x:alignment horizontal="center" vertical="center"/>
    </x:xf>
    <x:xf numFmtId="0" fontId="28" fillId="0" borderId="37" xfId="6" applyFont="1" applyBorder="1" applyAlignment="1">
      <x:alignment horizontal="center" vertical="center"/>
    </x:xf>
    <x:xf numFmtId="0" fontId="28" fillId="0" borderId="35" xfId="6" applyFont="1" applyBorder="1" applyAlignment="1">
      <x:alignment horizontal="left" vertical="center"/>
    </x:xf>
    <x:xf numFmtId="0" fontId="28" fillId="0" borderId="36" xfId="6" applyFont="1" applyBorder="1" applyAlignment="1">
      <x:alignment horizontal="left" vertical="center"/>
    </x:xf>
    <x:xf numFmtId="0" fontId="28" fillId="0" borderId="37" xfId="6" applyFont="1" applyBorder="1" applyAlignment="1">
      <x:alignment horizontal="left" vertical="center"/>
    </x:xf>
    <x:xf numFmtId="0" fontId="1" fillId="0" borderId="0" xfId="6" applyFont="1"/>
  </x:cellXfs>
  <x:cellStyles count="7">
    <x:cellStyle name="Hyperlink" xfId="1"/>
    <x:cellStyle name="Normal" xfId="0"/>
    <x:cellStyle name="Normal 2" xfId="6"/>
    <x:cellStyle name="Normal_Functional Test Case v1.0" xfId="2"/>
    <x:cellStyle name="Normal_Sheet1" xfId="3"/>
    <x:cellStyle name="Normal_Template_UnitTest Case_v0.9" xfId="5"/>
    <x:cellStyle name="標準_結合試験(AllOvertheWorld)" xfId="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32821a335145b7" /><Relationship Type="http://schemas.openxmlformats.org/officeDocument/2006/relationships/theme" Target="/xl/theme/theme1.xml" Id="R323384af1a9e40b5" /><Relationship Type="http://schemas.openxmlformats.org/officeDocument/2006/relationships/sharedStrings" Target="/xl/sharedStrings.xml" Id="R3314d0627e3b4d48" /><Relationship Type="http://schemas.openxmlformats.org/officeDocument/2006/relationships/worksheet" Target="/xl/worksheets/sheet1.xml" Id="R18904406552a4e7e" /><Relationship Type="http://schemas.openxmlformats.org/officeDocument/2006/relationships/worksheet" Target="/xl/worksheets/sheet2.xml" Id="R3f95238756604a7b" /><Relationship Type="http://schemas.openxmlformats.org/officeDocument/2006/relationships/worksheet" Target="/xl/worksheets/sheet3.xml" Id="R1356a17e92844e1e" /><Relationship Type="http://schemas.openxmlformats.org/officeDocument/2006/relationships/worksheet" Target="/xl/worksheets/sheet4.xml" Id="Raf99c44db5344784" /><Relationship Type="http://schemas.openxmlformats.org/officeDocument/2006/relationships/worksheet" Target="/xl/worksheets/sheet5.xml" Id="R0c31274557da43d8" /><Relationship Type="http://schemas.openxmlformats.org/officeDocument/2006/relationships/worksheet" Target="/xl/worksheets/sheet6.xml" Id="R67c7f8558a614f66" /><Relationship Type="http://schemas.openxmlformats.org/officeDocument/2006/relationships/worksheet" Target="/xl/worksheets/sheet7.xml" Id="R92c26bf942fb44de" /><Relationship Type="http://schemas.openxmlformats.org/officeDocument/2006/relationships/worksheet" Target="/xl/worksheets/sheet8.xml" Id="Rd9f9c9d88caf461c" /><Relationship Type="http://schemas.openxmlformats.org/officeDocument/2006/relationships/worksheet" Target="/xl/worksheets/sheet9.xml" Id="Rf690dd066b6b475d" /><Relationship Type="http://schemas.openxmlformats.org/officeDocument/2006/relationships/worksheet" Target="/xl/worksheets/sheet10.xml" Id="Rad98dbe60637454d" /><Relationship Type="http://schemas.openxmlformats.org/officeDocument/2006/relationships/worksheet" Target="/xl/worksheets/sheet11.xml" Id="R249beabb8fe849bd" /><Relationship Type="http://schemas.openxmlformats.org/officeDocument/2006/relationships/worksheet" Target="/xl/worksheets/sheet12.xml" Id="R257dcdc5489b4261" /><Relationship Type="http://schemas.openxmlformats.org/officeDocument/2006/relationships/worksheet" Target="/xl/worksheets/sheet13.xml" Id="Rb973231246ea4182" /><Relationship Type="http://schemas.openxmlformats.org/officeDocument/2006/relationships/worksheet" Target="/xl/worksheets/sheet14.xml" Id="R9a26ce12e190446b" /><Relationship Type="http://schemas.openxmlformats.org/officeDocument/2006/relationships/worksheet" Target="/xl/worksheets/sheet15.xml" Id="Raafbc8fb248d4a08" /><Relationship Type="http://schemas.openxmlformats.org/officeDocument/2006/relationships/worksheet" Target="/xl/worksheets/sheet16.xml" Id="Ra0ff5dcfee43474a" /><Relationship Type="http://schemas.openxmlformats.org/officeDocument/2006/relationships/worksheet" Target="/xl/worksheets/sheet17.xml" Id="Rb340fc8a5cb84783" /><Relationship Type="http://schemas.openxmlformats.org/officeDocument/2006/relationships/worksheet" Target="/xl/worksheets/sheet18.xml" Id="Rdbae58d3cb8a487e" /><Relationship Type="http://schemas.openxmlformats.org/officeDocument/2006/relationships/worksheet" Target="/xl/worksheets/sheet19.xml" Id="Rb1ab753bce624f08" /><Relationship Type="http://schemas.openxmlformats.org/officeDocument/2006/relationships/worksheet" Target="/xl/worksheets/sheet20.xml" Id="Rc63280b2762546a7" /><Relationship Type="http://schemas.openxmlformats.org/officeDocument/2006/relationships/worksheet" Target="/xl/worksheets/sheet21.xml" Id="Rc3f1bf06df5c40c6" /><Relationship Type="http://schemas.openxmlformats.org/officeDocument/2006/relationships/worksheet" Target="/xl/worksheets/sheet22.xml" Id="Re14936b36ad041ba" /><Relationship Type="http://schemas.openxmlformats.org/officeDocument/2006/relationships/worksheet" Target="/xl/worksheets/sheet23.xml" Id="Rbbc54447d9f54703" /><Relationship Type="http://schemas.openxmlformats.org/officeDocument/2006/relationships/worksheet" Target="/xl/worksheets/sheet24.xml" Id="R6edb1e2e51f64d33" /><Relationship Type="http://schemas.openxmlformats.org/officeDocument/2006/relationships/worksheet" Target="/xl/worksheets/sheet25.xml" Id="R3e7358cbd2504abc" /><Relationship Type="http://schemas.openxmlformats.org/officeDocument/2006/relationships/worksheet" Target="/xl/worksheets/sheet26.xml" Id="R4a4c2a285ccd4fcb" /><Relationship Type="http://schemas.openxmlformats.org/officeDocument/2006/relationships/worksheet" Target="/xl/worksheets/sheet27.xml" Id="R7b13692ef4564ed5" /><Relationship Type="http://schemas.openxmlformats.org/officeDocument/2006/relationships/worksheet" Target="/xl/worksheets/sheet28.xml" Id="R4f85f21ac5b5445b" /><Relationship Type="http://schemas.openxmlformats.org/officeDocument/2006/relationships/worksheet" Target="/xl/worksheets/sheet29.xml" Id="Rf65e06fa52fa42b0" /><Relationship Type="http://schemas.openxmlformats.org/officeDocument/2006/relationships/worksheet" Target="/xl/worksheets/sheet30.xml" Id="Ra2ce30457211487e" /><Relationship Type="http://schemas.openxmlformats.org/officeDocument/2006/relationships/worksheet" Target="/xl/worksheets/sheet31.xml" Id="R68bf82716e1d4f58" /><Relationship Type="http://schemas.openxmlformats.org/officeDocument/2006/relationships/worksheet" Target="/xl/worksheets/sheet32.xml" Id="R8f0a10eadaa74355" /><Relationship Type="http://schemas.openxmlformats.org/officeDocument/2006/relationships/worksheet" Target="/xl/worksheets/sheet33.xml" Id="R6986c030e7e847ba" /><Relationship Type="http://schemas.openxmlformats.org/officeDocument/2006/relationships/worksheet" Target="/xl/worksheets/sheet34.xml" Id="Rcaa9975d36b24f5e" /><Relationship Type="http://schemas.openxmlformats.org/officeDocument/2006/relationships/worksheet" Target="/xl/worksheets/sheet35.xml" Id="Rc144978bf029401a" /><Relationship Type="http://schemas.openxmlformats.org/officeDocument/2006/relationships/worksheet" Target="/xl/worksheets/sheet36.xml" Id="Ra0e6871a1da340dd" /><Relationship Type="http://schemas.openxmlformats.org/officeDocument/2006/relationships/worksheet" Target="/xl/worksheets/sheet37.xml" Id="R16bb87450cf84b93" /><Relationship Type="http://schemas.openxmlformats.org/officeDocument/2006/relationships/worksheet" Target="/xl/worksheets/sheet38.xml" Id="R72dea8b9ef4644e2" /><Relationship Type="http://schemas.openxmlformats.org/officeDocument/2006/relationships/worksheet" Target="/xl/worksheets/sheet39.xml" Id="R5e44e9f5204846ef" /><Relationship Type="http://schemas.openxmlformats.org/officeDocument/2006/relationships/worksheet" Target="/xl/worksheets/sheet40.xml" Id="R8f23e668d297464a" /><Relationship Type="http://schemas.openxmlformats.org/officeDocument/2006/relationships/worksheet" Target="/xl/worksheets/sheet41.xml" Id="Rccd06a9972a7419b" /><Relationship Type="http://schemas.openxmlformats.org/officeDocument/2006/relationships/worksheet" Target="/xl/worksheets/sheet42.xml" Id="R84b268ee101a425e" /><Relationship Type="http://schemas.openxmlformats.org/officeDocument/2006/relationships/worksheet" Target="/xl/worksheets/sheet43.xml" Id="Ra2d9fae3fd9b4a79" /><Relationship Type="http://schemas.openxmlformats.org/officeDocument/2006/relationships/worksheet" Target="/xl/worksheets/sheet44.xml" Id="R43f325fd64424a87" /><Relationship Type="http://schemas.openxmlformats.org/officeDocument/2006/relationships/worksheet" Target="/xl/worksheets/sheet45.xml" Id="Rb6422d5f2e114e98" /><Relationship Type="http://schemas.openxmlformats.org/officeDocument/2006/relationships/worksheet" Target="/xl/worksheets/sheet46.xml" Id="Ra6d0ec1a3fd94d9a" /><Relationship Type="http://schemas.openxmlformats.org/officeDocument/2006/relationships/worksheet" Target="/xl/worksheets/sheet47.xml" Id="Rea7c045312414d03" /><Relationship Type="http://schemas.openxmlformats.org/officeDocument/2006/relationships/worksheet" Target="/xl/worksheets/sheet48.xml" Id="R92b1402016454dc4" /><Relationship Type="http://schemas.openxmlformats.org/officeDocument/2006/relationships/worksheet" Target="/xl/worksheets/sheet49.xml" Id="Rf4fa339efe034bf8" /><Relationship Type="http://schemas.microsoft.com/office/2017/10/relationships/person" Target="/xl/persons/person.xml" Id="Rb51c98837f6d4a5b" /></Relationships>
</file>

<file path=xl/persons/person.xml><?xml version="1.0" encoding="utf-8"?>
<xltc:personList xmlns:xltc="http://schemas.microsoft.com/office/spreadsheetml/2018/threadedcomments">
  <xltc:person displayName="tqsang" id="{AA7C3BED-2DBA-74AB-18C1-93F9CBA1C537}"/>
  <xltc:person displayName="tqsang" id="{6BEA7578-8D78-4293-4495-9E594BAD892D}"/>
  <xltc:person displayName="tqsang" id="{96952608-D563-B994-C290-5ABAF594178A}"/>
  <xltc:person displayName="tqsang" id="{857867BC-17AA-68AB-6C24-BD1D6FAC9D72}"/>
  <xltc:person displayName="tqsang" id="{E0E58669-F283-D64D-3B9B-2E4C0A03F735}"/>
  <xltc:person displayName="tqsang" id="{F136EA5D-12BD-B64F-AD7B-2590D11D8A3C}"/>
  <xltc:person displayName="tqsang" id="{C194EA9B-54F3-F5DB-EE02-10126C89B139}"/>
  <xltc:person displayName="tqsang" id="{9007F65D-EF0E-91BF-D69A-AC0ACE52E460}"/>
  <xltc:person displayName="tqsang" id="{EA69A5B4-8416-9977-DACE-42770D775EFD}"/>
  <xltc:person displayName="tqsang" id="{21C0ABDA-1986-2C53-590A-040AF3DBDDC6}"/>
  <xltc:person displayName="tqsang" id="{70D1C885-1B7B-A73F-A28E-D4DD51A53151}"/>
  <xltc:person displayName="tqsang" id="{3F9D8E28-B346-142D-835C-B44D85BCFE21}"/>
  <xltc:person displayName="tqsang" id="{C521B523-A315-C23E-2759-FE84B152FBF0}"/>
  <xltc:person displayName="tqsang" id="{F6555205-7B39-7895-0C36-324E228E3DDF}"/>
  <xltc:person displayName="tqsang" id="{2E4DE7DB-D264-A93A-E227-5D5380B9C701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8687041988254fbf" /><Relationship Type="http://schemas.openxmlformats.org/officeDocument/2006/relationships/vmlDrawing" Target="/xl/drawings/vmldrawing.vml" Id="R2ff23610ce1d4a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2.xml" Id="Rd855e4d0c61740f3" /><Relationship Type="http://schemas.openxmlformats.org/officeDocument/2006/relationships/vmlDrawing" Target="/xl/drawings/vmldrawing2.vml" Id="Rbb88b4942c80471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comments" Target="/xl/comments3.xml" Id="Rd0c2545e7c014c96" /><Relationship Type="http://schemas.openxmlformats.org/officeDocument/2006/relationships/vmlDrawing" Target="/xl/drawings/vmldrawing3.vml" Id="R3c0fbfdbee27433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comments" Target="/xl/comments4.xml" Id="R4412ac6066324efb" /><Relationship Type="http://schemas.openxmlformats.org/officeDocument/2006/relationships/vmlDrawing" Target="/xl/drawings/vmldrawing4.vml" Id="Rbc0e2ffb82e0427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comments" Target="/xl/comments5.xml" Id="R725fd8a8c6794cf4" /><Relationship Type="http://schemas.openxmlformats.org/officeDocument/2006/relationships/vmlDrawing" Target="/xl/drawings/vmldrawing5.vml" Id="R570b79affd42453a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comments" Target="/xl/comments6.xml" Id="R8c76b4ef9f06418b" /><Relationship Type="http://schemas.openxmlformats.org/officeDocument/2006/relationships/vmlDrawing" Target="/xl/drawings/vmldrawing6.vml" Id="R94b021c673624ee5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comments" Target="/xl/comments7.xml" Id="Rd2f11249457b4490" /><Relationship Type="http://schemas.openxmlformats.org/officeDocument/2006/relationships/vmlDrawing" Target="/xl/drawings/vmldrawing7.vml" Id="R34b22d12c32046c9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comments" Target="/xl/comments8.xml" Id="Ra2a52738465348e9" /><Relationship Type="http://schemas.openxmlformats.org/officeDocument/2006/relationships/vmlDrawing" Target="/xl/drawings/vmldrawing8.vml" Id="R1c7605e52e554eb9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comments" Target="/xl/comments9.xml" Id="R48b9c51d0e8743eb" /><Relationship Type="http://schemas.openxmlformats.org/officeDocument/2006/relationships/vmlDrawing" Target="/xl/drawings/vmldrawing9.vml" Id="R1d2f0a16708c4040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comments" Target="/xl/comments10.xml" Id="R40531f15f12d4fe7" /><Relationship Type="http://schemas.openxmlformats.org/officeDocument/2006/relationships/vmlDrawing" Target="/xl/drawings/vmldrawing10.vml" Id="Rc2a5278631954219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comments" Target="/xl/comments11.xml" Id="R2ab0f673353c4966" /><Relationship Type="http://schemas.openxmlformats.org/officeDocument/2006/relationships/vmlDrawing" Target="/xl/drawings/vmldrawing11.vml" Id="R84f1bdaedf314898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comments" Target="/xl/comments12.xml" Id="Rc249ea132b1445f0" /><Relationship Type="http://schemas.openxmlformats.org/officeDocument/2006/relationships/vmlDrawing" Target="/xl/drawings/vmldrawing12.vml" Id="R2f8a7e6bca76427e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comments" Target="/xl/comments13.xml" Id="R2f570619007343e3" /><Relationship Type="http://schemas.openxmlformats.org/officeDocument/2006/relationships/vmlDrawing" Target="/xl/drawings/vmldrawing13.vml" Id="Ra8345978c6ed4877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comments" Target="/xl/comments14.xml" Id="Rebd6316b79994b53" /><Relationship Type="http://schemas.openxmlformats.org/officeDocument/2006/relationships/vmlDrawing" Target="/xl/drawings/vmldrawing14.vml" Id="Rfb593a615ff84184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comments" Target="/xl/comments15.xml" Id="R5d42223fcfdd4d0d" /><Relationship Type="http://schemas.openxmlformats.org/officeDocument/2006/relationships/vmlDrawing" Target="/xl/drawings/vmldrawing15.vml" Id="R03fd233d0d4548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2.75"/>
  <x:cols>
    <x:col min="1" max="1" width="28.125" style="126" customWidth="1"/>
    <x:col min="2" max="2" width="10" style="99" customWidth="1"/>
    <x:col min="3" max="3" width="14.375" style="99" customWidth="1"/>
    <x:col min="4" max="4" width="8" style="99" customWidth="1"/>
    <x:col min="5" max="5" width="38" style="99" customWidth="1"/>
    <x:col min="6" max="6" width="48.125" style="99" customWidth="1"/>
    <x:col min="7" max="256" width="9" style="99" customWidth="0"/>
    <x:col min="257" max="257" width="28.125" style="99" customWidth="1"/>
    <x:col min="258" max="258" width="10" style="99" customWidth="1"/>
    <x:col min="259" max="259" width="14.375" style="99" customWidth="1"/>
    <x:col min="260" max="260" width="8" style="99" customWidth="1"/>
    <x:col min="261" max="261" width="38" style="99" customWidth="1"/>
    <x:col min="262" max="262" width="48.125" style="99" customWidth="1"/>
    <x:col min="263" max="512" width="9" style="99" customWidth="0"/>
    <x:col min="513" max="513" width="28.125" style="99" customWidth="1"/>
    <x:col min="514" max="514" width="10" style="99" customWidth="1"/>
    <x:col min="515" max="515" width="14.375" style="99" customWidth="1"/>
    <x:col min="516" max="516" width="8" style="99" customWidth="1"/>
    <x:col min="517" max="517" width="38" style="99" customWidth="1"/>
    <x:col min="518" max="518" width="48.125" style="99" customWidth="1"/>
    <x:col min="519" max="768" width="9" style="99" customWidth="0"/>
    <x:col min="769" max="769" width="28.125" style="99" customWidth="1"/>
    <x:col min="770" max="770" width="10" style="99" customWidth="1"/>
    <x:col min="771" max="771" width="14.375" style="99" customWidth="1"/>
    <x:col min="772" max="772" width="8" style="99" customWidth="1"/>
    <x:col min="773" max="773" width="38" style="99" customWidth="1"/>
    <x:col min="774" max="774" width="48.125" style="99" customWidth="1"/>
    <x:col min="775" max="1024" width="9" style="99" customWidth="0"/>
    <x:col min="1025" max="1025" width="28.125" style="99" customWidth="1"/>
    <x:col min="1026" max="1026" width="10" style="99" customWidth="1"/>
    <x:col min="1027" max="1027" width="14.375" style="99" customWidth="1"/>
    <x:col min="1028" max="1028" width="8" style="99" customWidth="1"/>
    <x:col min="1029" max="1029" width="38" style="99" customWidth="1"/>
    <x:col min="1030" max="1030" width="48.125" style="99" customWidth="1"/>
    <x:col min="1031" max="1280" width="9" style="99" customWidth="0"/>
    <x:col min="1281" max="1281" width="28.125" style="99" customWidth="1"/>
    <x:col min="1282" max="1282" width="10" style="99" customWidth="1"/>
    <x:col min="1283" max="1283" width="14.375" style="99" customWidth="1"/>
    <x:col min="1284" max="1284" width="8" style="99" customWidth="1"/>
    <x:col min="1285" max="1285" width="38" style="99" customWidth="1"/>
    <x:col min="1286" max="1286" width="48.125" style="99" customWidth="1"/>
    <x:col min="1287" max="1536" width="9" style="99" customWidth="0"/>
    <x:col min="1537" max="1537" width="28.125" style="99" customWidth="1"/>
    <x:col min="1538" max="1538" width="10" style="99" customWidth="1"/>
    <x:col min="1539" max="1539" width="14.375" style="99" customWidth="1"/>
    <x:col min="1540" max="1540" width="8" style="99" customWidth="1"/>
    <x:col min="1541" max="1541" width="38" style="99" customWidth="1"/>
    <x:col min="1542" max="1542" width="48.125" style="99" customWidth="1"/>
    <x:col min="1543" max="1792" width="9" style="99" customWidth="0"/>
    <x:col min="1793" max="1793" width="28.125" style="99" customWidth="1"/>
    <x:col min="1794" max="1794" width="10" style="99" customWidth="1"/>
    <x:col min="1795" max="1795" width="14.375" style="99" customWidth="1"/>
    <x:col min="1796" max="1796" width="8" style="99" customWidth="1"/>
    <x:col min="1797" max="1797" width="38" style="99" customWidth="1"/>
    <x:col min="1798" max="1798" width="48.125" style="99" customWidth="1"/>
    <x:col min="1799" max="2048" width="9" style="99" customWidth="0"/>
    <x:col min="2049" max="2049" width="28.125" style="99" customWidth="1"/>
    <x:col min="2050" max="2050" width="10" style="99" customWidth="1"/>
    <x:col min="2051" max="2051" width="14.375" style="99" customWidth="1"/>
    <x:col min="2052" max="2052" width="8" style="99" customWidth="1"/>
    <x:col min="2053" max="2053" width="38" style="99" customWidth="1"/>
    <x:col min="2054" max="2054" width="48.125" style="99" customWidth="1"/>
    <x:col min="2055" max="2304" width="9" style="99" customWidth="0"/>
    <x:col min="2305" max="2305" width="28.125" style="99" customWidth="1"/>
    <x:col min="2306" max="2306" width="10" style="99" customWidth="1"/>
    <x:col min="2307" max="2307" width="14.375" style="99" customWidth="1"/>
    <x:col min="2308" max="2308" width="8" style="99" customWidth="1"/>
    <x:col min="2309" max="2309" width="38" style="99" customWidth="1"/>
    <x:col min="2310" max="2310" width="48.125" style="99" customWidth="1"/>
    <x:col min="2311" max="2560" width="9" style="99" customWidth="0"/>
    <x:col min="2561" max="2561" width="28.125" style="99" customWidth="1"/>
    <x:col min="2562" max="2562" width="10" style="99" customWidth="1"/>
    <x:col min="2563" max="2563" width="14.375" style="99" customWidth="1"/>
    <x:col min="2564" max="2564" width="8" style="99" customWidth="1"/>
    <x:col min="2565" max="2565" width="38" style="99" customWidth="1"/>
    <x:col min="2566" max="2566" width="48.125" style="99" customWidth="1"/>
    <x:col min="2567" max="2816" width="9" style="99" customWidth="0"/>
    <x:col min="2817" max="2817" width="28.125" style="99" customWidth="1"/>
    <x:col min="2818" max="2818" width="10" style="99" customWidth="1"/>
    <x:col min="2819" max="2819" width="14.375" style="99" customWidth="1"/>
    <x:col min="2820" max="2820" width="8" style="99" customWidth="1"/>
    <x:col min="2821" max="2821" width="38" style="99" customWidth="1"/>
    <x:col min="2822" max="2822" width="48.125" style="99" customWidth="1"/>
    <x:col min="2823" max="3072" width="9" style="99" customWidth="0"/>
    <x:col min="3073" max="3073" width="28.125" style="99" customWidth="1"/>
    <x:col min="3074" max="3074" width="10" style="99" customWidth="1"/>
    <x:col min="3075" max="3075" width="14.375" style="99" customWidth="1"/>
    <x:col min="3076" max="3076" width="8" style="99" customWidth="1"/>
    <x:col min="3077" max="3077" width="38" style="99" customWidth="1"/>
    <x:col min="3078" max="3078" width="48.125" style="99" customWidth="1"/>
    <x:col min="3079" max="3328" width="9" style="99" customWidth="0"/>
    <x:col min="3329" max="3329" width="28.125" style="99" customWidth="1"/>
    <x:col min="3330" max="3330" width="10" style="99" customWidth="1"/>
    <x:col min="3331" max="3331" width="14.375" style="99" customWidth="1"/>
    <x:col min="3332" max="3332" width="8" style="99" customWidth="1"/>
    <x:col min="3333" max="3333" width="38" style="99" customWidth="1"/>
    <x:col min="3334" max="3334" width="48.125" style="99" customWidth="1"/>
    <x:col min="3335" max="3584" width="9" style="99" customWidth="0"/>
    <x:col min="3585" max="3585" width="28.125" style="99" customWidth="1"/>
    <x:col min="3586" max="3586" width="10" style="99" customWidth="1"/>
    <x:col min="3587" max="3587" width="14.375" style="99" customWidth="1"/>
    <x:col min="3588" max="3588" width="8" style="99" customWidth="1"/>
    <x:col min="3589" max="3589" width="38" style="99" customWidth="1"/>
    <x:col min="3590" max="3590" width="48.125" style="99" customWidth="1"/>
    <x:col min="3591" max="3840" width="9" style="99" customWidth="0"/>
    <x:col min="3841" max="3841" width="28.125" style="99" customWidth="1"/>
    <x:col min="3842" max="3842" width="10" style="99" customWidth="1"/>
    <x:col min="3843" max="3843" width="14.375" style="99" customWidth="1"/>
    <x:col min="3844" max="3844" width="8" style="99" customWidth="1"/>
    <x:col min="3845" max="3845" width="38" style="99" customWidth="1"/>
    <x:col min="3846" max="3846" width="48.125" style="99" customWidth="1"/>
    <x:col min="3847" max="4096" width="9" style="99" customWidth="0"/>
    <x:col min="4097" max="4097" width="28.125" style="99" customWidth="1"/>
    <x:col min="4098" max="4098" width="10" style="99" customWidth="1"/>
    <x:col min="4099" max="4099" width="14.375" style="99" customWidth="1"/>
    <x:col min="4100" max="4100" width="8" style="99" customWidth="1"/>
    <x:col min="4101" max="4101" width="38" style="99" customWidth="1"/>
    <x:col min="4102" max="4102" width="48.125" style="99" customWidth="1"/>
    <x:col min="4103" max="4352" width="9" style="99" customWidth="0"/>
    <x:col min="4353" max="4353" width="28.125" style="99" customWidth="1"/>
    <x:col min="4354" max="4354" width="10" style="99" customWidth="1"/>
    <x:col min="4355" max="4355" width="14.375" style="99" customWidth="1"/>
    <x:col min="4356" max="4356" width="8" style="99" customWidth="1"/>
    <x:col min="4357" max="4357" width="38" style="99" customWidth="1"/>
    <x:col min="4358" max="4358" width="48.125" style="99" customWidth="1"/>
    <x:col min="4359" max="4608" width="9" style="99" customWidth="0"/>
    <x:col min="4609" max="4609" width="28.125" style="99" customWidth="1"/>
    <x:col min="4610" max="4610" width="10" style="99" customWidth="1"/>
    <x:col min="4611" max="4611" width="14.375" style="99" customWidth="1"/>
    <x:col min="4612" max="4612" width="8" style="99" customWidth="1"/>
    <x:col min="4613" max="4613" width="38" style="99" customWidth="1"/>
    <x:col min="4614" max="4614" width="48.125" style="99" customWidth="1"/>
    <x:col min="4615" max="4864" width="9" style="99" customWidth="0"/>
    <x:col min="4865" max="4865" width="28.125" style="99" customWidth="1"/>
    <x:col min="4866" max="4866" width="10" style="99" customWidth="1"/>
    <x:col min="4867" max="4867" width="14.375" style="99" customWidth="1"/>
    <x:col min="4868" max="4868" width="8" style="99" customWidth="1"/>
    <x:col min="4869" max="4869" width="38" style="99" customWidth="1"/>
    <x:col min="4870" max="4870" width="48.125" style="99" customWidth="1"/>
    <x:col min="4871" max="5120" width="9" style="99" customWidth="0"/>
    <x:col min="5121" max="5121" width="28.125" style="99" customWidth="1"/>
    <x:col min="5122" max="5122" width="10" style="99" customWidth="1"/>
    <x:col min="5123" max="5123" width="14.375" style="99" customWidth="1"/>
    <x:col min="5124" max="5124" width="8" style="99" customWidth="1"/>
    <x:col min="5125" max="5125" width="38" style="99" customWidth="1"/>
    <x:col min="5126" max="5126" width="48.125" style="99" customWidth="1"/>
    <x:col min="5127" max="5376" width="9" style="99" customWidth="0"/>
    <x:col min="5377" max="5377" width="28.125" style="99" customWidth="1"/>
    <x:col min="5378" max="5378" width="10" style="99" customWidth="1"/>
    <x:col min="5379" max="5379" width="14.375" style="99" customWidth="1"/>
    <x:col min="5380" max="5380" width="8" style="99" customWidth="1"/>
    <x:col min="5381" max="5381" width="38" style="99" customWidth="1"/>
    <x:col min="5382" max="5382" width="48.125" style="99" customWidth="1"/>
    <x:col min="5383" max="5632" width="9" style="99" customWidth="0"/>
    <x:col min="5633" max="5633" width="28.125" style="99" customWidth="1"/>
    <x:col min="5634" max="5634" width="10" style="99" customWidth="1"/>
    <x:col min="5635" max="5635" width="14.375" style="99" customWidth="1"/>
    <x:col min="5636" max="5636" width="8" style="99" customWidth="1"/>
    <x:col min="5637" max="5637" width="38" style="99" customWidth="1"/>
    <x:col min="5638" max="5638" width="48.125" style="99" customWidth="1"/>
    <x:col min="5639" max="5888" width="9" style="99" customWidth="0"/>
    <x:col min="5889" max="5889" width="28.125" style="99" customWidth="1"/>
    <x:col min="5890" max="5890" width="10" style="99" customWidth="1"/>
    <x:col min="5891" max="5891" width="14.375" style="99" customWidth="1"/>
    <x:col min="5892" max="5892" width="8" style="99" customWidth="1"/>
    <x:col min="5893" max="5893" width="38" style="99" customWidth="1"/>
    <x:col min="5894" max="5894" width="48.125" style="99" customWidth="1"/>
    <x:col min="5895" max="6144" width="9" style="99" customWidth="0"/>
    <x:col min="6145" max="6145" width="28.125" style="99" customWidth="1"/>
    <x:col min="6146" max="6146" width="10" style="99" customWidth="1"/>
    <x:col min="6147" max="6147" width="14.375" style="99" customWidth="1"/>
    <x:col min="6148" max="6148" width="8" style="99" customWidth="1"/>
    <x:col min="6149" max="6149" width="38" style="99" customWidth="1"/>
    <x:col min="6150" max="6150" width="48.125" style="99" customWidth="1"/>
    <x:col min="6151" max="6400" width="9" style="99" customWidth="0"/>
    <x:col min="6401" max="6401" width="28.125" style="99" customWidth="1"/>
    <x:col min="6402" max="6402" width="10" style="99" customWidth="1"/>
    <x:col min="6403" max="6403" width="14.375" style="99" customWidth="1"/>
    <x:col min="6404" max="6404" width="8" style="99" customWidth="1"/>
    <x:col min="6405" max="6405" width="38" style="99" customWidth="1"/>
    <x:col min="6406" max="6406" width="48.125" style="99" customWidth="1"/>
    <x:col min="6407" max="6656" width="9" style="99" customWidth="0"/>
    <x:col min="6657" max="6657" width="28.125" style="99" customWidth="1"/>
    <x:col min="6658" max="6658" width="10" style="99" customWidth="1"/>
    <x:col min="6659" max="6659" width="14.375" style="99" customWidth="1"/>
    <x:col min="6660" max="6660" width="8" style="99" customWidth="1"/>
    <x:col min="6661" max="6661" width="38" style="99" customWidth="1"/>
    <x:col min="6662" max="6662" width="48.125" style="99" customWidth="1"/>
    <x:col min="6663" max="6912" width="9" style="99" customWidth="0"/>
    <x:col min="6913" max="6913" width="28.125" style="99" customWidth="1"/>
    <x:col min="6914" max="6914" width="10" style="99" customWidth="1"/>
    <x:col min="6915" max="6915" width="14.375" style="99" customWidth="1"/>
    <x:col min="6916" max="6916" width="8" style="99" customWidth="1"/>
    <x:col min="6917" max="6917" width="38" style="99" customWidth="1"/>
    <x:col min="6918" max="6918" width="48.125" style="99" customWidth="1"/>
    <x:col min="6919" max="7168" width="9" style="99" customWidth="0"/>
    <x:col min="7169" max="7169" width="28.125" style="99" customWidth="1"/>
    <x:col min="7170" max="7170" width="10" style="99" customWidth="1"/>
    <x:col min="7171" max="7171" width="14.375" style="99" customWidth="1"/>
    <x:col min="7172" max="7172" width="8" style="99" customWidth="1"/>
    <x:col min="7173" max="7173" width="38" style="99" customWidth="1"/>
    <x:col min="7174" max="7174" width="48.125" style="99" customWidth="1"/>
    <x:col min="7175" max="7424" width="9" style="99" customWidth="0"/>
    <x:col min="7425" max="7425" width="28.125" style="99" customWidth="1"/>
    <x:col min="7426" max="7426" width="10" style="99" customWidth="1"/>
    <x:col min="7427" max="7427" width="14.375" style="99" customWidth="1"/>
    <x:col min="7428" max="7428" width="8" style="99" customWidth="1"/>
    <x:col min="7429" max="7429" width="38" style="99" customWidth="1"/>
    <x:col min="7430" max="7430" width="48.125" style="99" customWidth="1"/>
    <x:col min="7431" max="7680" width="9" style="99" customWidth="0"/>
    <x:col min="7681" max="7681" width="28.125" style="99" customWidth="1"/>
    <x:col min="7682" max="7682" width="10" style="99" customWidth="1"/>
    <x:col min="7683" max="7683" width="14.375" style="99" customWidth="1"/>
    <x:col min="7684" max="7684" width="8" style="99" customWidth="1"/>
    <x:col min="7685" max="7685" width="38" style="99" customWidth="1"/>
    <x:col min="7686" max="7686" width="48.125" style="99" customWidth="1"/>
    <x:col min="7687" max="7936" width="9" style="99" customWidth="0"/>
    <x:col min="7937" max="7937" width="28.125" style="99" customWidth="1"/>
    <x:col min="7938" max="7938" width="10" style="99" customWidth="1"/>
    <x:col min="7939" max="7939" width="14.375" style="99" customWidth="1"/>
    <x:col min="7940" max="7940" width="8" style="99" customWidth="1"/>
    <x:col min="7941" max="7941" width="38" style="99" customWidth="1"/>
    <x:col min="7942" max="7942" width="48.125" style="99" customWidth="1"/>
    <x:col min="7943" max="8192" width="9" style="99" customWidth="0"/>
    <x:col min="8193" max="8193" width="28.125" style="99" customWidth="1"/>
    <x:col min="8194" max="8194" width="10" style="99" customWidth="1"/>
    <x:col min="8195" max="8195" width="14.375" style="99" customWidth="1"/>
    <x:col min="8196" max="8196" width="8" style="99" customWidth="1"/>
    <x:col min="8197" max="8197" width="38" style="99" customWidth="1"/>
    <x:col min="8198" max="8198" width="48.125" style="99" customWidth="1"/>
    <x:col min="8199" max="8448" width="9" style="99" customWidth="0"/>
    <x:col min="8449" max="8449" width="28.125" style="99" customWidth="1"/>
    <x:col min="8450" max="8450" width="10" style="99" customWidth="1"/>
    <x:col min="8451" max="8451" width="14.375" style="99" customWidth="1"/>
    <x:col min="8452" max="8452" width="8" style="99" customWidth="1"/>
    <x:col min="8453" max="8453" width="38" style="99" customWidth="1"/>
    <x:col min="8454" max="8454" width="48.125" style="99" customWidth="1"/>
    <x:col min="8455" max="8704" width="9" style="99" customWidth="0"/>
    <x:col min="8705" max="8705" width="28.125" style="99" customWidth="1"/>
    <x:col min="8706" max="8706" width="10" style="99" customWidth="1"/>
    <x:col min="8707" max="8707" width="14.375" style="99" customWidth="1"/>
    <x:col min="8708" max="8708" width="8" style="99" customWidth="1"/>
    <x:col min="8709" max="8709" width="38" style="99" customWidth="1"/>
    <x:col min="8710" max="8710" width="48.125" style="99" customWidth="1"/>
    <x:col min="8711" max="8960" width="9" style="99" customWidth="0"/>
    <x:col min="8961" max="8961" width="28.125" style="99" customWidth="1"/>
    <x:col min="8962" max="8962" width="10" style="99" customWidth="1"/>
    <x:col min="8963" max="8963" width="14.375" style="99" customWidth="1"/>
    <x:col min="8964" max="8964" width="8" style="99" customWidth="1"/>
    <x:col min="8965" max="8965" width="38" style="99" customWidth="1"/>
    <x:col min="8966" max="8966" width="48.125" style="99" customWidth="1"/>
    <x:col min="8967" max="9216" width="9" style="99" customWidth="0"/>
    <x:col min="9217" max="9217" width="28.125" style="99" customWidth="1"/>
    <x:col min="9218" max="9218" width="10" style="99" customWidth="1"/>
    <x:col min="9219" max="9219" width="14.375" style="99" customWidth="1"/>
    <x:col min="9220" max="9220" width="8" style="99" customWidth="1"/>
    <x:col min="9221" max="9221" width="38" style="99" customWidth="1"/>
    <x:col min="9222" max="9222" width="48.125" style="99" customWidth="1"/>
    <x:col min="9223" max="9472" width="9" style="99" customWidth="0"/>
    <x:col min="9473" max="9473" width="28.125" style="99" customWidth="1"/>
    <x:col min="9474" max="9474" width="10" style="99" customWidth="1"/>
    <x:col min="9475" max="9475" width="14.375" style="99" customWidth="1"/>
    <x:col min="9476" max="9476" width="8" style="99" customWidth="1"/>
    <x:col min="9477" max="9477" width="38" style="99" customWidth="1"/>
    <x:col min="9478" max="9478" width="48.125" style="99" customWidth="1"/>
    <x:col min="9479" max="9728" width="9" style="99" customWidth="0"/>
    <x:col min="9729" max="9729" width="28.125" style="99" customWidth="1"/>
    <x:col min="9730" max="9730" width="10" style="99" customWidth="1"/>
    <x:col min="9731" max="9731" width="14.375" style="99" customWidth="1"/>
    <x:col min="9732" max="9732" width="8" style="99" customWidth="1"/>
    <x:col min="9733" max="9733" width="38" style="99" customWidth="1"/>
    <x:col min="9734" max="9734" width="48.125" style="99" customWidth="1"/>
    <x:col min="9735" max="9984" width="9" style="99" customWidth="0"/>
    <x:col min="9985" max="9985" width="28.125" style="99" customWidth="1"/>
    <x:col min="9986" max="9986" width="10" style="99" customWidth="1"/>
    <x:col min="9987" max="9987" width="14.375" style="99" customWidth="1"/>
    <x:col min="9988" max="9988" width="8" style="99" customWidth="1"/>
    <x:col min="9989" max="9989" width="38" style="99" customWidth="1"/>
    <x:col min="9990" max="9990" width="48.125" style="99" customWidth="1"/>
    <x:col min="9991" max="10240" width="9" style="99" customWidth="0"/>
    <x:col min="10241" max="10241" width="28.125" style="99" customWidth="1"/>
    <x:col min="10242" max="10242" width="10" style="99" customWidth="1"/>
    <x:col min="10243" max="10243" width="14.375" style="99" customWidth="1"/>
    <x:col min="10244" max="10244" width="8" style="99" customWidth="1"/>
    <x:col min="10245" max="10245" width="38" style="99" customWidth="1"/>
    <x:col min="10246" max="10246" width="48.125" style="99" customWidth="1"/>
    <x:col min="10247" max="10496" width="9" style="99" customWidth="0"/>
    <x:col min="10497" max="10497" width="28.125" style="99" customWidth="1"/>
    <x:col min="10498" max="10498" width="10" style="99" customWidth="1"/>
    <x:col min="10499" max="10499" width="14.375" style="99" customWidth="1"/>
    <x:col min="10500" max="10500" width="8" style="99" customWidth="1"/>
    <x:col min="10501" max="10501" width="38" style="99" customWidth="1"/>
    <x:col min="10502" max="10502" width="48.125" style="99" customWidth="1"/>
    <x:col min="10503" max="10752" width="9" style="99" customWidth="0"/>
    <x:col min="10753" max="10753" width="28.125" style="99" customWidth="1"/>
    <x:col min="10754" max="10754" width="10" style="99" customWidth="1"/>
    <x:col min="10755" max="10755" width="14.375" style="99" customWidth="1"/>
    <x:col min="10756" max="10756" width="8" style="99" customWidth="1"/>
    <x:col min="10757" max="10757" width="38" style="99" customWidth="1"/>
    <x:col min="10758" max="10758" width="48.125" style="99" customWidth="1"/>
    <x:col min="10759" max="11008" width="9" style="99" customWidth="0"/>
    <x:col min="11009" max="11009" width="28.125" style="99" customWidth="1"/>
    <x:col min="11010" max="11010" width="10" style="99" customWidth="1"/>
    <x:col min="11011" max="11011" width="14.375" style="99" customWidth="1"/>
    <x:col min="11012" max="11012" width="8" style="99" customWidth="1"/>
    <x:col min="11013" max="11013" width="38" style="99" customWidth="1"/>
    <x:col min="11014" max="11014" width="48.125" style="99" customWidth="1"/>
    <x:col min="11015" max="11264" width="9" style="99" customWidth="0"/>
    <x:col min="11265" max="11265" width="28.125" style="99" customWidth="1"/>
    <x:col min="11266" max="11266" width="10" style="99" customWidth="1"/>
    <x:col min="11267" max="11267" width="14.375" style="99" customWidth="1"/>
    <x:col min="11268" max="11268" width="8" style="99" customWidth="1"/>
    <x:col min="11269" max="11269" width="38" style="99" customWidth="1"/>
    <x:col min="11270" max="11270" width="48.125" style="99" customWidth="1"/>
    <x:col min="11271" max="11520" width="9" style="99" customWidth="0"/>
    <x:col min="11521" max="11521" width="28.125" style="99" customWidth="1"/>
    <x:col min="11522" max="11522" width="10" style="99" customWidth="1"/>
    <x:col min="11523" max="11523" width="14.375" style="99" customWidth="1"/>
    <x:col min="11524" max="11524" width="8" style="99" customWidth="1"/>
    <x:col min="11525" max="11525" width="38" style="99" customWidth="1"/>
    <x:col min="11526" max="11526" width="48.125" style="99" customWidth="1"/>
    <x:col min="11527" max="11776" width="9" style="99" customWidth="0"/>
    <x:col min="11777" max="11777" width="28.125" style="99" customWidth="1"/>
    <x:col min="11778" max="11778" width="10" style="99" customWidth="1"/>
    <x:col min="11779" max="11779" width="14.375" style="99" customWidth="1"/>
    <x:col min="11780" max="11780" width="8" style="99" customWidth="1"/>
    <x:col min="11781" max="11781" width="38" style="99" customWidth="1"/>
    <x:col min="11782" max="11782" width="48.125" style="99" customWidth="1"/>
    <x:col min="11783" max="12032" width="9" style="99" customWidth="0"/>
    <x:col min="12033" max="12033" width="28.125" style="99" customWidth="1"/>
    <x:col min="12034" max="12034" width="10" style="99" customWidth="1"/>
    <x:col min="12035" max="12035" width="14.375" style="99" customWidth="1"/>
    <x:col min="12036" max="12036" width="8" style="99" customWidth="1"/>
    <x:col min="12037" max="12037" width="38" style="99" customWidth="1"/>
    <x:col min="12038" max="12038" width="48.125" style="99" customWidth="1"/>
    <x:col min="12039" max="12288" width="9" style="99" customWidth="0"/>
    <x:col min="12289" max="12289" width="28.125" style="99" customWidth="1"/>
    <x:col min="12290" max="12290" width="10" style="99" customWidth="1"/>
    <x:col min="12291" max="12291" width="14.375" style="99" customWidth="1"/>
    <x:col min="12292" max="12292" width="8" style="99" customWidth="1"/>
    <x:col min="12293" max="12293" width="38" style="99" customWidth="1"/>
    <x:col min="12294" max="12294" width="48.125" style="99" customWidth="1"/>
    <x:col min="12295" max="12544" width="9" style="99" customWidth="0"/>
    <x:col min="12545" max="12545" width="28.125" style="99" customWidth="1"/>
    <x:col min="12546" max="12546" width="10" style="99" customWidth="1"/>
    <x:col min="12547" max="12547" width="14.375" style="99" customWidth="1"/>
    <x:col min="12548" max="12548" width="8" style="99" customWidth="1"/>
    <x:col min="12549" max="12549" width="38" style="99" customWidth="1"/>
    <x:col min="12550" max="12550" width="48.125" style="99" customWidth="1"/>
    <x:col min="12551" max="12800" width="9" style="99" customWidth="0"/>
    <x:col min="12801" max="12801" width="28.125" style="99" customWidth="1"/>
    <x:col min="12802" max="12802" width="10" style="99" customWidth="1"/>
    <x:col min="12803" max="12803" width="14.375" style="99" customWidth="1"/>
    <x:col min="12804" max="12804" width="8" style="99" customWidth="1"/>
    <x:col min="12805" max="12805" width="38" style="99" customWidth="1"/>
    <x:col min="12806" max="12806" width="48.125" style="99" customWidth="1"/>
    <x:col min="12807" max="13056" width="9" style="99" customWidth="0"/>
    <x:col min="13057" max="13057" width="28.125" style="99" customWidth="1"/>
    <x:col min="13058" max="13058" width="10" style="99" customWidth="1"/>
    <x:col min="13059" max="13059" width="14.375" style="99" customWidth="1"/>
    <x:col min="13060" max="13060" width="8" style="99" customWidth="1"/>
    <x:col min="13061" max="13061" width="38" style="99" customWidth="1"/>
    <x:col min="13062" max="13062" width="48.125" style="99" customWidth="1"/>
    <x:col min="13063" max="13312" width="9" style="99" customWidth="0"/>
    <x:col min="13313" max="13313" width="28.125" style="99" customWidth="1"/>
    <x:col min="13314" max="13314" width="10" style="99" customWidth="1"/>
    <x:col min="13315" max="13315" width="14.375" style="99" customWidth="1"/>
    <x:col min="13316" max="13316" width="8" style="99" customWidth="1"/>
    <x:col min="13317" max="13317" width="38" style="99" customWidth="1"/>
    <x:col min="13318" max="13318" width="48.125" style="99" customWidth="1"/>
    <x:col min="13319" max="13568" width="9" style="99" customWidth="0"/>
    <x:col min="13569" max="13569" width="28.125" style="99" customWidth="1"/>
    <x:col min="13570" max="13570" width="10" style="99" customWidth="1"/>
    <x:col min="13571" max="13571" width="14.375" style="99" customWidth="1"/>
    <x:col min="13572" max="13572" width="8" style="99" customWidth="1"/>
    <x:col min="13573" max="13573" width="38" style="99" customWidth="1"/>
    <x:col min="13574" max="13574" width="48.125" style="99" customWidth="1"/>
    <x:col min="13575" max="13824" width="9" style="99" customWidth="0"/>
    <x:col min="13825" max="13825" width="28.125" style="99" customWidth="1"/>
    <x:col min="13826" max="13826" width="10" style="99" customWidth="1"/>
    <x:col min="13827" max="13827" width="14.375" style="99" customWidth="1"/>
    <x:col min="13828" max="13828" width="8" style="99" customWidth="1"/>
    <x:col min="13829" max="13829" width="38" style="99" customWidth="1"/>
    <x:col min="13830" max="13830" width="48.125" style="99" customWidth="1"/>
    <x:col min="13831" max="14080" width="9" style="99" customWidth="0"/>
    <x:col min="14081" max="14081" width="28.125" style="99" customWidth="1"/>
    <x:col min="14082" max="14082" width="10" style="99" customWidth="1"/>
    <x:col min="14083" max="14083" width="14.375" style="99" customWidth="1"/>
    <x:col min="14084" max="14084" width="8" style="99" customWidth="1"/>
    <x:col min="14085" max="14085" width="38" style="99" customWidth="1"/>
    <x:col min="14086" max="14086" width="48.125" style="99" customWidth="1"/>
    <x:col min="14087" max="14336" width="9" style="99" customWidth="0"/>
    <x:col min="14337" max="14337" width="28.125" style="99" customWidth="1"/>
    <x:col min="14338" max="14338" width="10" style="99" customWidth="1"/>
    <x:col min="14339" max="14339" width="14.375" style="99" customWidth="1"/>
    <x:col min="14340" max="14340" width="8" style="99" customWidth="1"/>
    <x:col min="14341" max="14341" width="38" style="99" customWidth="1"/>
    <x:col min="14342" max="14342" width="48.125" style="99" customWidth="1"/>
    <x:col min="14343" max="14592" width="9" style="99" customWidth="0"/>
    <x:col min="14593" max="14593" width="28.125" style="99" customWidth="1"/>
    <x:col min="14594" max="14594" width="10" style="99" customWidth="1"/>
    <x:col min="14595" max="14595" width="14.375" style="99" customWidth="1"/>
    <x:col min="14596" max="14596" width="8" style="99" customWidth="1"/>
    <x:col min="14597" max="14597" width="38" style="99" customWidth="1"/>
    <x:col min="14598" max="14598" width="48.125" style="99" customWidth="1"/>
    <x:col min="14599" max="14848" width="9" style="99" customWidth="0"/>
    <x:col min="14849" max="14849" width="28.125" style="99" customWidth="1"/>
    <x:col min="14850" max="14850" width="10" style="99" customWidth="1"/>
    <x:col min="14851" max="14851" width="14.375" style="99" customWidth="1"/>
    <x:col min="14852" max="14852" width="8" style="99" customWidth="1"/>
    <x:col min="14853" max="14853" width="38" style="99" customWidth="1"/>
    <x:col min="14854" max="14854" width="48.125" style="99" customWidth="1"/>
    <x:col min="14855" max="15104" width="9" style="99" customWidth="0"/>
    <x:col min="15105" max="15105" width="28.125" style="99" customWidth="1"/>
    <x:col min="15106" max="15106" width="10" style="99" customWidth="1"/>
    <x:col min="15107" max="15107" width="14.375" style="99" customWidth="1"/>
    <x:col min="15108" max="15108" width="8" style="99" customWidth="1"/>
    <x:col min="15109" max="15109" width="38" style="99" customWidth="1"/>
    <x:col min="15110" max="15110" width="48.125" style="99" customWidth="1"/>
    <x:col min="15111" max="15360" width="9" style="99" customWidth="0"/>
    <x:col min="15361" max="15361" width="28.125" style="99" customWidth="1"/>
    <x:col min="15362" max="15362" width="10" style="99" customWidth="1"/>
    <x:col min="15363" max="15363" width="14.375" style="99" customWidth="1"/>
    <x:col min="15364" max="15364" width="8" style="99" customWidth="1"/>
    <x:col min="15365" max="15365" width="38" style="99" customWidth="1"/>
    <x:col min="15366" max="15366" width="48.125" style="99" customWidth="1"/>
    <x:col min="15367" max="15616" width="9" style="99" customWidth="0"/>
    <x:col min="15617" max="15617" width="28.125" style="99" customWidth="1"/>
    <x:col min="15618" max="15618" width="10" style="99" customWidth="1"/>
    <x:col min="15619" max="15619" width="14.375" style="99" customWidth="1"/>
    <x:col min="15620" max="15620" width="8" style="99" customWidth="1"/>
    <x:col min="15621" max="15621" width="38" style="99" customWidth="1"/>
    <x:col min="15622" max="15622" width="48.125" style="99" customWidth="1"/>
    <x:col min="15623" max="15872" width="9" style="99" customWidth="0"/>
    <x:col min="15873" max="15873" width="28.125" style="99" customWidth="1"/>
    <x:col min="15874" max="15874" width="10" style="99" customWidth="1"/>
    <x:col min="15875" max="15875" width="14.375" style="99" customWidth="1"/>
    <x:col min="15876" max="15876" width="8" style="99" customWidth="1"/>
    <x:col min="15877" max="15877" width="38" style="99" customWidth="1"/>
    <x:col min="15878" max="15878" width="48.125" style="99" customWidth="1"/>
    <x:col min="15879" max="16128" width="9" style="99" customWidth="0"/>
    <x:col min="16129" max="16129" width="28.125" style="99" customWidth="1"/>
    <x:col min="16130" max="16130" width="10" style="99" customWidth="1"/>
    <x:col min="16131" max="16131" width="14.375" style="99" customWidth="1"/>
    <x:col min="16132" max="16132" width="8" style="99" customWidth="1"/>
    <x:col min="16133" max="16133" width="38" style="99" customWidth="1"/>
    <x:col min="16134" max="16134" width="48.125" style="99" customWidth="1"/>
    <x:col min="16135" max="16384" width="9" style="99" customWidth="0"/>
  </x:cols>
  <x:sheetData>
    <x:row r="2" s="96" customFormat="1" ht="75.75" customHeight="1">
      <x:c r="A2" s="95"/>
      <x:c r="B2" s="156" t="s">
        <x:v>0</x:v>
      </x:c>
      <x:c r="C2" s="156"/>
      <x:c r="D2" s="156"/>
      <x:c r="E2" s="156"/>
      <x:c r="F2" s="156"/>
    </x:row>
    <x:row r="3">
      <x:c r="A3" s="97"/>
      <x:c r="B3" s="98"/>
      <x:c r="E3" s="100"/>
    </x:row>
    <x:row r="4" ht="14.25" customHeight="1">
      <x:c r="A4" s="101" t="s">
        <x:v>1</x:v>
      </x:c>
      <x:c r="B4" s="157" t="inlineStr">
        <x:is>
          <x:t xml:space="preserve">Clinic Management System</x:t>
        </x:is>
      </x:c>
      <x:c r="C4" s="157"/>
      <x:c r="D4" s="157"/>
      <x:c r="E4" s="101" t="s">
        <x:v>2</x:v>
      </x:c>
      <x:c r="F4" s="102"/>
    </x:row>
    <x:row r="5" ht="14.25" customHeight="1">
      <x:c r="A5" s="101" t="s">
        <x:v>3</x:v>
      </x:c>
      <x:c r="B5" s="157" t="inlineStr">
        <x:is>
          <x:t xml:space="preserve">CMS</x:t>
        </x:is>
      </x:c>
      <x:c r="C5" s="157"/>
      <x:c r="D5" s="157"/>
      <x:c r="E5" s="101" t="s">
        <x:v>4</x:v>
      </x:c>
      <x:c r="F5" s="103" t="inlineStr">
        <x:is>
          <x:t xml:space="preserve">2026-08-12</x:t>
        </x:is>
      </x:c>
    </x:row>
    <x:row r="6" ht="15.75" customHeight="1">
      <x:c r="A6" s="104" t="s">
        <x:v>5</x:v>
      </x:c>
      <x:c r="B6" s="158" t="str">
        <x:f>B5&amp;"_IntegrationTest_v1.0"</x:f>
        <x:v>CMS_IntegrationTest_v1.0</x:v>
      </x:c>
      <x:c r="C6" s="159"/>
      <x:c r="D6" s="160"/>
      <x:c r="E6" s="101" t="s">
        <x:v>6</x:v>
      </x:c>
      <x:c r="F6" s="103" t="inlineStr">
        <x:is>
          <x:t xml:space="preserve">v1.0</x:t>
        </x:is>
      </x:c>
    </x:row>
    <x:row r="7">
      <x:c r="A7" s="106"/>
      <x:c r="B7" s="107"/>
      <x:c r="E7" s="108"/>
      <x:c r="F7" s="98"/>
    </x:row>
    <x:row r="8">
      <x:c r="A8" s="99"/>
    </x:row>
    <x:row r="9">
      <x:c r="A9" s="109" t="s">
        <x:v>7</x:v>
      </x:c>
    </x:row>
    <x:row r="10" s="113" customFormat="1">
      <x:c r="A10" s="110" t="s">
        <x:v>8</x:v>
      </x:c>
      <x:c r="B10" s="111" t="s">
        <x:v>6</x:v>
      </x:c>
      <x:c r="C10" s="111" t="s">
        <x:v>9</x:v>
      </x:c>
      <x:c r="D10" s="111" t="s">
        <x:v>10</x:v>
      </x:c>
      <x:c r="E10" s="111" t="s">
        <x:v>11</x:v>
      </x:c>
      <x:c r="F10" s="112" t="s">
        <x:v>12</x:v>
      </x:c>
    </x:row>
    <x:row r="11" s="119" customFormat="1" ht="26.25" customHeight="1">
      <x:c r="A11" s="114" t="inlineStr">
        <x:is>
          <x:t xml:space="preserve">2026-08-12</x:t>
        </x:is>
      </x:c>
      <x:c r="B11" s="115" t="inlineStr">
        <x:is>
          <x:t xml:space="preserve">v1.0</x:t>
        </x:is>
      </x:c>
      <x:c r="C11" s="116" t="inlineStr">
        <x:is>
          <x:t xml:space="preserve">Initial sample</x:t>
        </x:is>
      </x:c>
      <x:c r="D11" s="116" t="inlineStr">
        <x:is>
          <x:t xml:space="preserve">A</x:t>
        </x:is>
      </x:c>
      <x:c r="E11" s="117" t="inlineStr">
        <x:is>
          <x:t xml:space="preserve">Mẫu 3 luồng Integration Test.</x:t>
        </x:is>
      </x:c>
      <x:c r="F11" s="118" t="inlineStr">
        <x:is>
          <x:t xml:space="preserve">Source code repository</x:t>
        </x:is>
      </x:c>
    </x:row>
    <x:row r="12" s="119" customFormat="1" ht="21.75" customHeight="1">
      <x:c r="A12" s="120"/>
      <x:c r="B12" s="115"/>
      <x:c r="C12" s="116"/>
      <x:c r="D12" s="116"/>
      <x:c r="E12" s="116"/>
      <x:c r="F12" s="121"/>
    </x:row>
    <x:row r="13" s="119" customFormat="1" ht="19.5" customHeight="1">
      <x:c r="A13" s="120"/>
      <x:c r="B13" s="115"/>
      <x:c r="C13" s="116"/>
      <x:c r="D13" s="116"/>
      <x:c r="E13" s="116"/>
      <x:c r="F13" s="121"/>
    </x:row>
    <x:row r="14" s="119" customFormat="1" ht="21.75" customHeight="1">
      <x:c r="A14" s="120"/>
      <x:c r="B14" s="115"/>
      <x:c r="C14" s="116"/>
      <x:c r="D14" s="116"/>
      <x:c r="E14" s="116"/>
      <x:c r="F14" s="121"/>
    </x:row>
    <x:row r="15" s="119" customFormat="1" ht="19.5" customHeight="1">
      <x:c r="A15" s="120"/>
      <x:c r="B15" s="115"/>
      <x:c r="C15" s="116"/>
      <x:c r="D15" s="116"/>
      <x:c r="E15" s="116"/>
      <x:c r="F15" s="121"/>
    </x:row>
    <x:row r="16" s="119" customFormat="1" ht="21.75" customHeight="1">
      <x:c r="A16" s="120"/>
      <x:c r="B16" s="115"/>
      <x:c r="C16" s="116"/>
      <x:c r="D16" s="116"/>
      <x:c r="E16" s="116"/>
      <x:c r="F16" s="121"/>
    </x:row>
    <x:row r="17" s="119" customFormat="1" ht="19.5" customHeight="1">
      <x:c r="A17" s="122"/>
      <x:c r="B17" s="123"/>
      <x:c r="C17" s="124"/>
      <x:c r="D17" s="124"/>
      <x:c r="E17" s="124"/>
      <x:c r="F17" s="125"/>
    </x:row>
  </x:sheetData>
  <x:mergeCells>
    <x:mergeCell ref="B2:F2"/>
    <x:mergeCell ref="B4:D4"/>
    <x:mergeCell ref="B5:D5"/>
    <x:mergeCell ref="B6:D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2.75"/>
  <x:cols>
    <x:col min="1" max="1" width="1.375" style="1" customWidth="1"/>
    <x:col min="2" max="2" width="11.75" style="3" customWidth="1"/>
    <x:col min="3" max="3" width="26.5" style="4" customWidth="1"/>
    <x:col min="4" max="4" width="17.125" style="4" customWidth="1"/>
    <x:col min="5" max="5" width="28.125" style="4" customWidth="1"/>
    <x:col min="6" max="6" width="30.625" style="4" customWidth="1"/>
    <x:col min="7" max="16384" width="9" style="1" customWidth="0"/>
  </x:cols>
  <x:sheetData>
    <x:row r="1" ht="25.5">
      <x:c r="B1" s="5"/>
      <x:c r="D1" s="6" t="s">
        <x:v>13</x:v>
      </x:c>
      <x:c r="E1" s="7"/>
    </x:row>
    <x:row r="2" ht="13.5" customHeight="1">
      <x:c r="B2" s="5"/>
      <x:c r="D2" s="8"/>
      <x:c r="E2" s="8"/>
    </x:row>
    <x:row r="3">
      <x:c r="B3" s="163" t="s">
        <x:v>1</x:v>
      </x:c>
      <x:c r="C3" s="163"/>
      <x:c r="D3" s="164" t="inlineStr">
        <x:is>
          <x:t xml:space="preserve">Clinic Management System</x:t>
        </x:is>
      </x:c>
      <x:c r="E3" s="164"/>
      <x:c r="F3" s="164"/>
    </x:row>
    <x:row r="4">
      <x:c r="B4" s="163" t="s">
        <x:v>3</x:v>
      </x:c>
      <x:c r="C4" s="163"/>
      <x:c r="D4" s="164" t="inlineStr">
        <x:is>
          <x:t xml:space="preserve">CMS</x:t>
        </x:is>
      </x:c>
      <x:c r="E4" s="164"/>
      <x:c r="F4" s="164"/>
    </x:row>
    <x:row r="5" s="9" customFormat="1" ht="84.75" customHeight="1">
      <x:c r="B5" s="161" t="s">
        <x:v>14</x:v>
      </x:c>
      <x:c r="C5" s="161"/>
      <x:c r="D5" s="162" t="inlineStr">
        <x:is>
          <x:t xml:space="preserve">Spring Boot API; PostgreSQL; Redis; Postman/Swagger</x:t>
        </x:is>
      </x:c>
      <x:c r="E5" s="162"/>
      <x:c r="F5" s="162"/>
    </x:row>
    <x:row r="6">
      <x:c r="B6" s="10"/>
      <x:c r="C6" s="1"/>
      <x:c r="D6" s="1"/>
      <x:c r="E6" s="1"/>
      <x:c r="F6" s="1"/>
    </x:row>
    <x:row r="7" s="11" customFormat="1">
      <x:c r="B7" s="12"/>
      <x:c r="C7" s="13"/>
      <x:c r="D7" s="13"/>
      <x:c r="E7" s="13"/>
      <x:c r="F7" s="13"/>
    </x:row>
    <x:row r="8" s="14" customFormat="1" ht="21" customHeight="1">
      <x:c r="B8" s="15" t="s">
        <x:v>15</x:v>
      </x:c>
      <x:c r="C8" s="16" t="s">
        <x:v>16</x:v>
      </x:c>
      <x:c r="D8" s="16" t="s">
        <x:v>17</x:v>
      </x:c>
      <x:c r="E8" s="17" t="s">
        <x:v>18</x:v>
      </x:c>
      <x:c r="F8" s="18" t="s">
        <x:v>19</x:v>
      </x:c>
    </x:row>
    <x:row r="9" ht="13.5">
      <x:c r="B9" s="19">
        <x:v>1</x:v>
      </x:c>
      <x:c r="C9" s="20" t="inlineStr">
        <x:is>
          <x:t xml:space="preserve">IT01 - Đăng ký và OTP</x:t>
        </x:is>
      </x:c>
      <x:c r="D9" s="94" t="inlineStr">
        <x:is>
          <x:t xml:space="preserve">IT01-Register</x:t>
        </x:is>
      </x:c>
      <x:c r="E9" s="21" t="inlineStr">
        <x:is>
          <x:t xml:space="preserve">Đăng ký và OTP</x:t>
        </x:is>
      </x:c>
      <x:c r="F9" s="21" t="inlineStr">
        <x:is>
          <x:t xml:space="preserve">Theo pre-condition của Feature</x:t>
        </x:is>
      </x:c>
    </x:row>
    <x:row r="10" ht="13.5">
      <x:c r="B10" s="19">
        <x:v>2</x:v>
      </x:c>
      <x:c r="C10" s="20" t="inlineStr">
        <x:is>
          <x:t xml:space="preserve">IT02 - Đăng nhập và token</x:t>
        </x:is>
      </x:c>
      <x:c r="D10" s="94" t="inlineStr">
        <x:is>
          <x:t xml:space="preserve">IT02-LoginToken</x:t>
        </x:is>
      </x:c>
      <x:c r="E10" s="21" t="inlineStr">
        <x:is>
          <x:t xml:space="preserve">Đăng nhập và token</x:t>
        </x:is>
      </x:c>
      <x:c r="F10" s="21" t="inlineStr">
        <x:is>
          <x:t xml:space="preserve">Theo pre-condition của Feature</x:t>
        </x:is>
      </x:c>
    </x:row>
    <x:row r="11" ht="13.5">
      <x:c r="B11" s="19">
        <x:v>3</x:v>
      </x:c>
      <x:c r="C11" s="20" t="inlineStr">
        <x:is>
          <x:t xml:space="preserve">IT03 - Hồ sơ cá nhân</x:t>
        </x:is>
      </x:c>
      <x:c r="D11" s="94" t="inlineStr">
        <x:is>
          <x:t xml:space="preserve">IT03-Profile</x:t>
        </x:is>
      </x:c>
      <x:c r="E11" s="21" t="inlineStr">
        <x:is>
          <x:t xml:space="preserve">Hồ sơ cá nhân</x:t>
        </x:is>
      </x:c>
      <x:c r="F11" s="21" t="inlineStr">
        <x:is>
          <x:t xml:space="preserve">Theo pre-condition của Feature</x:t>
        </x:is>
      </x:c>
    </x:row>
    <x:row r="12" ht="13.5">
      <x:c r="B12" s="19">
        <x:v>4</x:v>
      </x:c>
      <x:c r="C12" s="20" t="inlineStr">
        <x:is>
          <x:t xml:space="preserve">IT04 - Đặt lịch và check-in</x:t>
        </x:is>
      </x:c>
      <x:c r="D12" s="94" t="inlineStr">
        <x:is>
          <x:t xml:space="preserve">IT04-Appointment</x:t>
        </x:is>
      </x:c>
      <x:c r="E12" s="21" t="inlineStr">
        <x:is>
          <x:t xml:space="preserve">Đặt lịch và check-in</x:t>
        </x:is>
      </x:c>
      <x:c r="F12" s="21" t="inlineStr">
        <x:is>
          <x:t xml:space="preserve">Theo pre-condition của Feature</x:t>
        </x:is>
      </x:c>
    </x:row>
    <x:row r="13" ht="13.5">
      <x:c r="B13" s="19">
        <x:v>5</x:v>
      </x:c>
      <x:c r="C13" s="20" t="inlineStr">
        <x:is>
          <x:t xml:space="preserve">IT05 - Thanh toán và queue</x:t>
        </x:is>
      </x:c>
      <x:c r="D13" s="94" t="inlineStr">
        <x:is>
          <x:t xml:space="preserve">IT05-PaymentQueue</x:t>
        </x:is>
      </x:c>
      <x:c r="E13" s="21" t="inlineStr">
        <x:is>
          <x:t xml:space="preserve">Thanh toán và queue</x:t>
        </x:is>
      </x:c>
      <x:c r="F13" s="21" t="inlineStr">
        <x:is>
          <x:t xml:space="preserve">Theo pre-condition của Feature</x:t>
        </x:is>
      </x:c>
    </x:row>
    <x:row r="14">
      <x:c r="B14" s="19">
        <x:v>6</x:v>
      </x:c>
      <x:c r="C14" s="20" t="inlineStr">
        <x:is>
          <x:t xml:space="preserve">IT06 - Hàng đợi và bắt đầu khám</x:t>
        </x:is>
      </x:c>
      <x:c r="D14" s="94" t="inlineStr">
        <x:is>
          <x:t xml:space="preserve">IT06-QueueExam</x:t>
        </x:is>
      </x:c>
      <x:c r="E14" s="21" t="inlineStr">
        <x:is>
          <x:t xml:space="preserve">Hàng đợi và bắt đầu khám</x:t>
        </x:is>
      </x:c>
      <x:c r="F14" s="21" t="inlineStr">
        <x:is>
          <x:t xml:space="preserve">Theo pre-condition của Feature</x:t>
        </x:is>
      </x:c>
    </x:row>
    <x:row r="15">
      <x:c r="B15" s="19">
        <x:v>7</x:v>
      </x:c>
      <x:c r="C15" s="20" t="inlineStr">
        <x:is>
          <x:t xml:space="preserve">IT07 - Khám và kê đơn</x:t>
        </x:is>
      </x:c>
      <x:c r="D15" s="94" t="inlineStr">
        <x:is>
          <x:t xml:space="preserve">IT07-Examination</x:t>
        </x:is>
      </x:c>
      <x:c r="E15" s="21" t="inlineStr">
        <x:is>
          <x:t xml:space="preserve">Khám và kê đơn</x:t>
        </x:is>
      </x:c>
      <x:c r="F15" s="21" t="inlineStr">
        <x:is>
          <x:t xml:space="preserve">Theo pre-condition của Feature</x:t>
        </x:is>
      </x:c>
    </x:row>
    <x:row r="16">
      <x:c r="B16" s="19">
        <x:v>8</x:v>
      </x:c>
      <x:c r="C16" s="20" t="inlineStr">
        <x:is>
          <x:t xml:space="preserve">IT08 - Chỉ định CLS</x:t>
        </x:is>
      </x:c>
      <x:c r="D16" s="94" t="inlineStr">
        <x:is>
          <x:t xml:space="preserve">IT08-TestOrder</x:t>
        </x:is>
      </x:c>
      <x:c r="E16" s="21" t="inlineStr">
        <x:is>
          <x:t xml:space="preserve">Chỉ định CLS</x:t>
        </x:is>
      </x:c>
      <x:c r="F16" s="21" t="inlineStr">
        <x:is>
          <x:t xml:space="preserve">Theo pre-condition của Feature</x:t>
        </x:is>
      </x:c>
    </x:row>
    <x:row r="17">
      <x:c r="B17" s="19">
        <x:v>9</x:v>
      </x:c>
      <x:c r="C17" s="20" t="inlineStr">
        <x:is>
          <x:t xml:space="preserve">IT09 - Trả kết quả CLS</x:t>
        </x:is>
      </x:c>
      <x:c r="D17" s="94" t="inlineStr">
        <x:is>
          <x:t xml:space="preserve">IT09-LabResult</x:t>
        </x:is>
      </x:c>
      <x:c r="E17" s="21" t="inlineStr">
        <x:is>
          <x:t xml:space="preserve">Trả kết quả CLS</x:t>
        </x:is>
      </x:c>
      <x:c r="F17" s="21" t="inlineStr">
        <x:is>
          <x:t xml:space="preserve">Theo pre-condition của Feature</x:t>
        </x:is>
      </x:c>
    </x:row>
    <x:row r="18">
      <x:c r="B18" s="19">
        <x:v>10</x:v>
      </x:c>
      <x:c r="C18" s="20" t="inlineStr">
        <x:is>
          <x:t xml:space="preserve">IT10 - Hoàn tất và tái khám</x:t>
        </x:is>
      </x:c>
      <x:c r="D18" s="94" t="inlineStr">
        <x:is>
          <x:t xml:space="preserve">IT10-CompleteFollowup</x:t>
        </x:is>
      </x:c>
      <x:c r="E18" s="21" t="inlineStr">
        <x:is>
          <x:t xml:space="preserve">Hoàn tất và tái khám</x:t>
        </x:is>
      </x:c>
      <x:c r="F18" s="21" t="inlineStr">
        <x:is>
          <x:t xml:space="preserve">Theo pre-condition của Feature</x:t>
        </x:is>
      </x:c>
    </x:row>
    <x:row r="19">
      <x:c r="B19" s="19">
        <x:v>11</x:v>
      </x:c>
      <x:c r="C19" s="20" t="inlineStr">
        <x:is>
          <x:t xml:space="preserve">IT11 - BHXH và giao dịch</x:t>
        </x:is>
      </x:c>
      <x:c r="D19" s="94" t="inlineStr">
        <x:is>
          <x:t xml:space="preserve">IT11-InsuranceTxn</x:t>
        </x:is>
      </x:c>
      <x:c r="E19" s="21" t="inlineStr">
        <x:is>
          <x:t xml:space="preserve">BHXH và giao dịch</x:t>
        </x:is>
      </x:c>
      <x:c r="F19" s="21" t="inlineStr">
        <x:is>
          <x:t xml:space="preserve">Theo pre-condition của Feature</x:t>
        </x:is>
      </x:c>
    </x:row>
    <x:row r="20">
      <x:c r="B20" s="19">
        <x:v>12</x:v>
      </x:c>
      <x:c r="C20" s="20" t="inlineStr">
        <x:is>
          <x:t xml:space="preserve">IT12 - Nhân sự và chấm công</x:t>
        </x:is>
      </x:c>
      <x:c r="D20" s="94" t="inlineStr">
        <x:is>
          <x:t xml:space="preserve">IT12-StaffSchedule</x:t>
        </x:is>
      </x:c>
      <x:c r="E20" s="21" t="inlineStr">
        <x:is>
          <x:t xml:space="preserve">Nhân sự và chấm công</x:t>
        </x:is>
      </x:c>
      <x:c r="F20" s="21" t="inlineStr">
        <x:is>
          <x:t xml:space="preserve">Theo pre-condition của Feature</x:t>
        </x:is>
      </x:c>
    </x:row>
    <x:row r="21">
      <x:c r="B21" s="19">
        <x:v>13</x:v>
      </x:c>
      <x:c r="C21" s="20" t="inlineStr">
        <x:is>
          <x:t xml:space="preserve">IT13 - Quản trị danh mục</x:t>
        </x:is>
      </x:c>
      <x:c r="D21" s="94" t="inlineStr">
        <x:is>
          <x:t xml:space="preserve">IT13-AdminCatalog</x:t>
        </x:is>
      </x:c>
      <x:c r="E21" s="21" t="inlineStr">
        <x:is>
          <x:t xml:space="preserve">Quản trị danh mục</x:t>
        </x:is>
      </x:c>
      <x:c r="F21" s="21" t="inlineStr">
        <x:is>
          <x:t xml:space="preserve">Theo pre-condition của Feature</x:t>
        </x:is>
      </x:c>
    </x:row>
    <x:row r="22">
      <x:c r="B22" s="19">
        <x:v>14</x:v>
      </x:c>
      <x:c r="C22" s="20" t="inlineStr">
        <x:is>
          <x:t xml:space="preserve">IT14 - Thông báo và chat</x:t>
        </x:is>
      </x:c>
      <x:c r="D22" s="94" t="inlineStr">
        <x:is>
          <x:t xml:space="preserve">IT14-NotifyChat</x:t>
        </x:is>
      </x:c>
      <x:c r="E22" s="21" t="inlineStr">
        <x:is>
          <x:t xml:space="preserve">Thông báo và chat</x:t>
        </x:is>
      </x:c>
      <x:c r="F22" s="21" t="inlineStr">
        <x:is>
          <x:t xml:space="preserve">Theo pre-condition của Feature</x:t>
        </x:is>
      </x:c>
    </x:row>
    <x:row r="23">
      <x:c r="B23" s="19">
        <x:v>15</x:v>
      </x:c>
      <x:c r="C23" s="20" t="inlineStr">
        <x:is>
          <x:t xml:space="preserve">IT15 - Hành trình và báo cáo</x:t>
        </x:is>
      </x:c>
      <x:c r="D23" s="94" t="inlineStr">
        <x:is>
          <x:t xml:space="preserve">IT15-JourneyReport</x:t>
        </x:is>
      </x:c>
      <x:c r="E23" s="21" t="inlineStr">
        <x:is>
          <x:t xml:space="preserve">Hành trình và báo cáo</x:t>
        </x:is>
      </x:c>
      <x:c r="F23" s="21" t="inlineStr">
        <x:is>
          <x:t xml:space="preserve">Theo pre-condition của Feature</x:t>
        </x:is>
      </x:c>
    </x:row>
  </x:sheetData>
  <x:mergeCells>
    <x:mergeCell ref="B5:C5"/>
    <x:mergeCell ref="D5:F5"/>
    <x:mergeCell ref="B3:C3"/>
    <x:mergeCell ref="D3:F3"/>
    <x:mergeCell ref="B4:C4"/>
    <x:mergeCell ref="D4:F4"/>
  </x:mergeCells>
  <x:hyperlinks>
    <x:hyperlink ref="D9" location="'IT01-Register'!A1"/>
    <x:hyperlink ref="D10" location="'IT02-LoginToken'!A1"/>
    <x:hyperlink ref="D11" location="'IT03-Profile'!A1"/>
    <x:hyperlink ref="D12" location="'IT04-Appointment'!A1"/>
    <x:hyperlink ref="D13" location="'IT05-PaymentQueue'!A1"/>
    <x:hyperlink ref="D14" location="'IT06-QueueExam'!A1"/>
    <x:hyperlink ref="D15" location="'IT07-Examination'!A1"/>
    <x:hyperlink ref="D16" location="'IT08-TestOrder'!A1"/>
    <x:hyperlink ref="D17" location="'IT09-LabResult'!A1"/>
    <x:hyperlink ref="D18" location="'IT10-CompleteFollowup'!A1"/>
    <x:hyperlink ref="D19" location="'IT11-InsuranceTxn'!A1"/>
    <x:hyperlink ref="D20" location="'IT12-StaffSchedule'!A1"/>
    <x:hyperlink ref="D21" location="'IT13-AdminCatalog'!A1"/>
    <x:hyperlink ref="D22" location="'IT14-NotifyChat'!A1"/>
    <x:hyperlink ref="D23" location="'IT15-JourneyReport'!A1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2.75"/>
  <x:cols>
    <x:col min="1" max="1" width="4.5" style="1" customWidth="1"/>
    <x:col min="2" max="2" width="18.375" style="1" customWidth="1"/>
    <x:col min="3" max="3" width="19.375" style="1" customWidth="1"/>
    <x:col min="4" max="6" width="11.625" style="1" customWidth="1"/>
    <x:col min="7" max="7" width="9" style="1" customWidth="0"/>
    <x:col min="8" max="8" width="35.5" style="1" customWidth="1"/>
    <x:col min="9" max="9" width="33.125" style="1" customWidth="1"/>
    <x:col min="10" max="16384" width="9" style="1" customWidth="0"/>
  </x:cols>
  <x:sheetData>
    <x:row r="1" ht="25.5" customHeight="1">
      <x:c r="B1" s="167" t="s">
        <x:v>20</x:v>
      </x:c>
      <x:c r="C1" s="167"/>
      <x:c r="D1" s="167"/>
      <x:c r="E1" s="167"/>
      <x:c r="F1" s="167"/>
      <x:c r="G1" s="167"/>
      <x:c r="H1" s="167"/>
    </x:row>
    <x:row r="2" ht="14.25" customHeight="1">
      <x:c r="A2" s="47"/>
      <x:c r="B2" s="47"/>
      <x:c r="C2" s="48"/>
      <x:c r="D2" s="48"/>
      <x:c r="E2" s="48"/>
      <x:c r="F2" s="48"/>
      <x:c r="G2" s="48"/>
      <x:c r="H2" s="49"/>
    </x:row>
    <x:row r="3" ht="12" customHeight="1">
      <x:c r="B3" s="2" t="s">
        <x:v>1</x:v>
      </x:c>
      <x:c r="C3" s="164" t="inlineStr">
        <x:is>
          <x:t xml:space="preserve">Clinic Management System</x:t>
        </x:is>
      </x:c>
      <x:c r="D3" s="164"/>
      <x:c r="E3" s="165" t="s">
        <x:v>2</x:v>
      </x:c>
      <x:c r="F3" s="165"/>
      <x:c r="G3" s="50"/>
      <x:c r="H3" s="51"/>
    </x:row>
    <x:row r="4" ht="12" customHeight="1">
      <x:c r="B4" s="2" t="s">
        <x:v>3</x:v>
      </x:c>
      <x:c r="C4" s="164" t="inlineStr">
        <x:is>
          <x:t xml:space="preserve">CMS</x:t>
        </x:is>
      </x:c>
      <x:c r="D4" s="164"/>
      <x:c r="E4" s="165" t="s">
        <x:v>21</x:v>
      </x:c>
      <x:c r="F4" s="165"/>
      <x:c r="G4" s="50"/>
      <x:c r="H4" s="51"/>
    </x:row>
    <x:row r="5" ht="12" customHeight="1">
      <x:c r="B5" s="52" t="s">
        <x:v>5</x:v>
      </x:c>
      <x:c r="C5" s="164" t="str">
        <x:f>C4&amp;"_Integration Test Report_v1.0"</x:f>
        <x:v>CMS_Integration Test Report_v1.0</x:v>
      </x:c>
      <x:c r="D5" s="164"/>
      <x:c r="E5" s="165" t="s">
        <x:v>4</x:v>
      </x:c>
      <x:c r="F5" s="165"/>
      <x:c r="G5" s="50"/>
      <x:c r="H5" s="53" t="inlineStr">
        <x:is>
          <x:t xml:space="preserve">2026-08-12</x:t>
        </x:is>
      </x:c>
    </x:row>
    <x:row r="6" ht="21.75" customHeight="1">
      <x:c r="A6" s="47"/>
      <x:c r="B6" s="52" t="s">
        <x:v>22</x:v>
      </x:c>
      <x:c r="C6" s="166" t="inlineStr">
        <x:is>
          <x:t xml:space="preserve">Sample review: IT01, IT04, IT09</x:t>
        </x:is>
      </x:c>
      <x:c r="D6" s="166"/>
      <x:c r="E6" s="166"/>
      <x:c r="F6" s="166"/>
      <x:c r="G6" s="166"/>
      <x:c r="H6" s="166"/>
    </x:row>
    <x:row r="7" ht="14.25" customHeight="1">
      <x:c r="A7" s="47"/>
      <x:c r="B7" s="54"/>
      <x:c r="C7" s="55"/>
      <x:c r="D7" s="48"/>
      <x:c r="E7" s="48"/>
      <x:c r="F7" s="48"/>
      <x:c r="G7" s="48"/>
      <x:c r="H7" s="49"/>
    </x:row>
    <x:row r="8">
      <x:c r="B8" s="54"/>
      <x:c r="C8" s="55"/>
      <x:c r="D8" s="48"/>
      <x:c r="E8" s="48"/>
      <x:c r="F8" s="48"/>
      <x:c r="G8" s="48"/>
      <x:c r="H8" s="49"/>
    </x:row>
    <x:row r="10">
      <x:c r="A10" s="56"/>
      <x:c r="B10" s="57" t="s">
        <x:v>15</x:v>
      </x:c>
      <x:c r="C10" s="58" t="s">
        <x:v>23</x:v>
      </x:c>
      <x:c r="D10" s="59" t="s">
        <x:v>24</x:v>
      </x:c>
      <x:c r="E10" s="58" t="s">
        <x:v>25</x:v>
      </x:c>
      <x:c r="F10" s="58" t="s">
        <x:v>26</x:v>
      </x:c>
      <x:c r="G10" s="60" t="s">
        <x:v>27</x:v>
      </x:c>
      <x:c r="H10" s="61" t="s">
        <x:v>28</x:v>
      </x:c>
    </x:row>
    <x:row r="11">
      <x:c r="A11" s="56"/>
      <x:c r="B11" s="62">
        <x:v>1</x:v>
      </x:c>
      <x:c r="C11" s="63" t="str">
        <x:f>'IT01-Register'!B2</x:f>
        <x:v>IT01 - Đăng ký và xác thực OTP</x:v>
      </x:c>
      <x:c r="D11" s="64" t="n">
        <x:f>'IT01-Register'!B6</x:f>
        <x:v>0</x:v>
      </x:c>
      <x:c r="E11" s="64" t="n">
        <x:f>'IT01-Register'!C6</x:f>
        <x:v>0</x:v>
      </x:c>
      <x:c r="F11" s="64" t="n">
        <x:f>'IT01-Register'!D6</x:f>
        <x:v>6</x:v>
      </x:c>
      <x:c r="G11" s="64" t="n">
        <x:f>'IT01-Register'!E6</x:f>
        <x:v>0</x:v>
      </x:c>
      <x:c r="H11" s="64" t="n">
        <x:f>'IT01-Register'!B4</x:f>
        <x:v>0</x:v>
      </x:c>
    </x:row>
    <x:row r="12">
      <x:c r="A12" s="56"/>
      <x:c r="B12" s="62">
        <x:v>2</x:v>
      </x:c>
      <x:c r="C12" s="63" t="str">
        <x:f>'IT02-LoginToken'!B2</x:f>
        <x:v>IT02 - Đăng nhập và refresh token</x:v>
      </x:c>
      <x:c r="D12" s="64" t="n">
        <x:f>'IT02-LoginToken'!B6</x:f>
        <x:v>0</x:v>
      </x:c>
      <x:c r="E12" s="64" t="n">
        <x:f>'IT02-LoginToken'!C6</x:f>
        <x:v>0</x:v>
      </x:c>
      <x:c r="F12" s="64" t="n">
        <x:f>'IT02-LoginToken'!D6</x:f>
        <x:v>6</x:v>
      </x:c>
      <x:c r="G12" s="64" t="n">
        <x:f>'IT02-LoginToken'!E6</x:f>
        <x:v>0</x:v>
      </x:c>
      <x:c r="H12" s="64" t="n">
        <x:f>'IT02-LoginToken'!B4</x:f>
        <x:v>0</x:v>
      </x:c>
    </x:row>
    <x:row r="13">
      <x:c r="A13" s="56"/>
      <x:c r="B13" s="62">
        <x:v>3</x:v>
      </x:c>
      <x:c r="C13" s="63" t="str">
        <x:f>'IT03-Profile'!B2</x:f>
        <x:v>IT03 - Hồ sơ cá nhân</x:v>
      </x:c>
      <x:c r="D13" s="64" t="n">
        <x:f>'IT03-Profile'!B6</x:f>
        <x:v>0</x:v>
      </x:c>
      <x:c r="E13" s="64" t="n">
        <x:f>'IT03-Profile'!C6</x:f>
        <x:v>0</x:v>
      </x:c>
      <x:c r="F13" s="64" t="n">
        <x:f>'IT03-Profile'!D6</x:f>
        <x:v>6</x:v>
      </x:c>
      <x:c r="G13" s="64" t="n">
        <x:f>'IT03-Profile'!E6</x:f>
        <x:v>0</x:v>
      </x:c>
      <x:c r="H13" s="64" t="n">
        <x:f>'IT03-Profile'!B4</x:f>
        <x:v>0</x:v>
      </x:c>
    </x:row>
    <x:row r="14">
      <x:c r="A14" s="56"/>
      <x:c r="B14" s="62">
        <x:v>4</x:v>
      </x:c>
      <x:c r="C14" s="63" t="str">
        <x:f>'IT04-Appointment'!B2</x:f>
        <x:v>IT04 - Đặt lịch và check-in</x:v>
      </x:c>
      <x:c r="D14" s="64" t="n">
        <x:f>'IT04-Appointment'!B6</x:f>
        <x:v>0</x:v>
      </x:c>
      <x:c r="E14" s="64" t="n">
        <x:f>'IT04-Appointment'!C6</x:f>
        <x:v>0</x:v>
      </x:c>
      <x:c r="F14" s="64" t="n">
        <x:f>'IT04-Appointment'!D6</x:f>
        <x:v>6</x:v>
      </x:c>
      <x:c r="G14" s="64" t="n">
        <x:f>'IT04-Appointment'!E6</x:f>
        <x:v>0</x:v>
      </x:c>
      <x:c r="H14" s="64" t="n">
        <x:f>'IT04-Appointment'!B4</x:f>
        <x:v>0</x:v>
      </x:c>
    </x:row>
    <x:row r="15">
      <x:c r="B15" s="62">
        <x:v>5</x:v>
      </x:c>
      <x:c r="C15" s="63" t="str">
        <x:f>'IT05-PaymentQueue'!B2</x:f>
        <x:v>IT05 - Thanh toán và tạo hàng đợi</x:v>
      </x:c>
      <x:c r="D15" s="64" t="n">
        <x:f>'IT05-PaymentQueue'!B6</x:f>
        <x:v>0</x:v>
      </x:c>
      <x:c r="E15" s="64" t="n">
        <x:f>'IT05-PaymentQueue'!C6</x:f>
        <x:v>0</x:v>
      </x:c>
      <x:c r="F15" s="64" t="n">
        <x:f>'IT05-PaymentQueue'!D6</x:f>
        <x:v>6</x:v>
      </x:c>
      <x:c r="G15" s="64" t="n">
        <x:f>'IT05-PaymentQueue'!E6</x:f>
        <x:v>0</x:v>
      </x:c>
      <x:c r="H15" s="64" t="n">
        <x:f>'IT05-PaymentQueue'!B4</x:f>
        <x:v>0</x:v>
      </x:c>
    </x:row>
    <x:row r="16">
      <x:c r="B16" s="62">
        <x:v>6</x:v>
      </x:c>
      <x:c r="C16" s="63" t="str">
        <x:f>'IT06-QueueExam'!B2</x:f>
        <x:v>IT06 - Hàng đợi và bắt đầu khám</x:v>
      </x:c>
      <x:c r="D16" s="64" t="n">
        <x:f>'IT06-QueueExam'!B6</x:f>
        <x:v>0</x:v>
      </x:c>
      <x:c r="E16" s="64" t="n">
        <x:f>'IT06-QueueExam'!C6</x:f>
        <x:v>0</x:v>
      </x:c>
      <x:c r="F16" s="64" t="n">
        <x:f>'IT06-QueueExam'!D6</x:f>
        <x:v>6</x:v>
      </x:c>
      <x:c r="G16" s="64" t="n">
        <x:f>'IT06-QueueExam'!E6</x:f>
        <x:v>0</x:v>
      </x:c>
      <x:c r="H16" s="64" t="n">
        <x:f>'IT06-QueueExam'!B4</x:f>
        <x:v>0</x:v>
      </x:c>
    </x:row>
    <x:row r="17">
      <x:c r="B17" s="62">
        <x:v>7</x:v>
      </x:c>
      <x:c r="C17" s="63" t="str">
        <x:f>'IT07-Examination'!B2</x:f>
        <x:v>IT07 - Khám, chẩn đoán và kê đơn</x:v>
      </x:c>
      <x:c r="D17" s="64" t="n">
        <x:f>'IT07-Examination'!B6</x:f>
        <x:v>0</x:v>
      </x:c>
      <x:c r="E17" s="64" t="n">
        <x:f>'IT07-Examination'!C6</x:f>
        <x:v>0</x:v>
      </x:c>
      <x:c r="F17" s="64" t="n">
        <x:f>'IT07-Examination'!D6</x:f>
        <x:v>6</x:v>
      </x:c>
      <x:c r="G17" s="64" t="n">
        <x:f>'IT07-Examination'!E6</x:f>
        <x:v>0</x:v>
      </x:c>
      <x:c r="H17" s="64" t="n">
        <x:f>'IT07-Examination'!B4</x:f>
        <x:v>0</x:v>
      </x:c>
    </x:row>
    <x:row r="18">
      <x:c r="A18" s="56"/>
      <x:c r="B18" s="62">
        <x:v>8</x:v>
      </x:c>
      <x:c r="C18" s="63" t="str">
        <x:f>'IT08-TestOrder'!B2</x:f>
        <x:v>IT08 - Chỉ định cận lâm sàng</x:v>
      </x:c>
      <x:c r="D18" s="64" t="n">
        <x:f>'IT08-TestOrder'!B6</x:f>
        <x:v>0</x:v>
      </x:c>
      <x:c r="E18" s="64" t="n">
        <x:f>'IT08-TestOrder'!C6</x:f>
        <x:v>0</x:v>
      </x:c>
      <x:c r="F18" s="64" t="n">
        <x:f>'IT08-TestOrder'!D6</x:f>
        <x:v>6</x:v>
      </x:c>
      <x:c r="G18" s="64" t="n">
        <x:f>'IT08-TestOrder'!E6</x:f>
        <x:v>0</x:v>
      </x:c>
      <x:c r="H18" s="64" t="n">
        <x:f>'IT08-TestOrder'!B4</x:f>
        <x:v>0</x:v>
      </x:c>
    </x:row>
    <x:row r="19">
      <x:c r="A19" s="56"/>
      <x:c r="B19" s="62">
        <x:v>9</x:v>
      </x:c>
      <x:c r="C19" s="63" t="str">
        <x:f>'IT09-LabResult'!B2</x:f>
        <x:v>IT09 - Chỉ định và trả kết quả xét nghiệm</x:v>
      </x:c>
      <x:c r="D19" s="64" t="n">
        <x:f>'IT09-LabResult'!B6</x:f>
        <x:v>0</x:v>
      </x:c>
      <x:c r="E19" s="64" t="n">
        <x:f>'IT09-LabResult'!C6</x:f>
        <x:v>0</x:v>
      </x:c>
      <x:c r="F19" s="64" t="n">
        <x:f>'IT09-LabResult'!D6</x:f>
        <x:v>6</x:v>
      </x:c>
      <x:c r="G19" s="64" t="n">
        <x:f>'IT09-LabResult'!E6</x:f>
        <x:v>0</x:v>
      </x:c>
      <x:c r="H19" s="64" t="n">
        <x:f>'IT09-LabResult'!B4</x:f>
        <x:v>0</x:v>
      </x:c>
    </x:row>
    <x:row r="20">
      <x:c r="A20" s="56"/>
      <x:c r="B20" s="62">
        <x:v>10</x:v>
      </x:c>
      <x:c r="C20" s="63" t="str">
        <x:f>'IT10-CompleteFollowup'!B2</x:f>
        <x:v>IT10 - Hoàn tất khám và tái khám</x:v>
      </x:c>
      <x:c r="D20" s="64" t="n">
        <x:f>'IT10-CompleteFollowup'!B6</x:f>
        <x:v>0</x:v>
      </x:c>
      <x:c r="E20" s="64" t="n">
        <x:f>'IT10-CompleteFollowup'!C6</x:f>
        <x:v>0</x:v>
      </x:c>
      <x:c r="F20" s="64" t="n">
        <x:f>'IT10-CompleteFollowup'!D6</x:f>
        <x:v>6</x:v>
      </x:c>
      <x:c r="G20" s="64" t="n">
        <x:f>'IT10-CompleteFollowup'!E6</x:f>
        <x:v>0</x:v>
      </x:c>
      <x:c r="H20" s="64" t="n">
        <x:f>'IT10-CompleteFollowup'!B4</x:f>
        <x:v>0</x:v>
      </x:c>
    </x:row>
    <x:row r="21">
      <x:c r="A21" s="56"/>
      <x:c r="B21" s="62">
        <x:v>11</x:v>
      </x:c>
      <x:c r="C21" s="63" t="str">
        <x:f>'IT11-InsuranceTxn'!B2</x:f>
        <x:v>IT11 - BHXH và giao dịch</x:v>
      </x:c>
      <x:c r="D21" s="64" t="n">
        <x:f>'IT11-InsuranceTxn'!B6</x:f>
        <x:v>0</x:v>
      </x:c>
      <x:c r="E21" s="64" t="n">
        <x:f>'IT11-InsuranceTxn'!C6</x:f>
        <x:v>0</x:v>
      </x:c>
      <x:c r="F21" s="64" t="n">
        <x:f>'IT11-InsuranceTxn'!D6</x:f>
        <x:v>6</x:v>
      </x:c>
      <x:c r="G21" s="64" t="n">
        <x:f>'IT11-InsuranceTxn'!E6</x:f>
        <x:v>0</x:v>
      </x:c>
      <x:c r="H21" s="64" t="n">
        <x:f>'IT11-InsuranceTxn'!B4</x:f>
        <x:v>0</x:v>
      </x:c>
    </x:row>
    <x:row r="22">
      <x:c r="A22" s="56"/>
      <x:c r="B22" s="62">
        <x:v>12</x:v>
      </x:c>
      <x:c r="C22" s="63" t="str">
        <x:f>'IT12-StaffSchedule'!B2</x:f>
        <x:v>IT12 - Nhân sự, lịch và chấm công</x:v>
      </x:c>
      <x:c r="D22" s="64" t="n">
        <x:f>'IT12-StaffSchedule'!B6</x:f>
        <x:v>0</x:v>
      </x:c>
      <x:c r="E22" s="64" t="n">
        <x:f>'IT12-StaffSchedule'!C6</x:f>
        <x:v>0</x:v>
      </x:c>
      <x:c r="F22" s="64" t="n">
        <x:f>'IT12-StaffSchedule'!D6</x:f>
        <x:v>6</x:v>
      </x:c>
      <x:c r="G22" s="64" t="n">
        <x:f>'IT12-StaffSchedule'!E6</x:f>
        <x:v>0</x:v>
      </x:c>
      <x:c r="H22" s="64" t="n">
        <x:f>'IT12-StaffSchedule'!B4</x:f>
        <x:v>0</x:v>
      </x:c>
    </x:row>
    <x:row r="23">
      <x:c r="A23" s="56"/>
      <x:c r="B23" s="62">
        <x:v>13</x:v>
      </x:c>
      <x:c r="C23" s="63" t="str">
        <x:f>'IT13-AdminCatalog'!B2</x:f>
        <x:v>IT13 - Quản trị danh mục hệ thống</x:v>
      </x:c>
      <x:c r="D23" s="64" t="n">
        <x:f>'IT13-AdminCatalog'!B6</x:f>
        <x:v>0</x:v>
      </x:c>
      <x:c r="E23" s="64" t="n">
        <x:f>'IT13-AdminCatalog'!C6</x:f>
        <x:v>0</x:v>
      </x:c>
      <x:c r="F23" s="64" t="n">
        <x:f>'IT13-AdminCatalog'!D6</x:f>
        <x:v>6</x:v>
      </x:c>
      <x:c r="G23" s="64" t="n">
        <x:f>'IT13-AdminCatalog'!E6</x:f>
        <x:v>0</x:v>
      </x:c>
      <x:c r="H23" s="64" t="n">
        <x:f>'IT13-AdminCatalog'!B4</x:f>
        <x:v>0</x:v>
      </x:c>
    </x:row>
    <x:row r="24">
      <x:c r="A24" s="56"/>
      <x:c r="B24" s="62">
        <x:v>14</x:v>
      </x:c>
      <x:c r="C24" s="63" t="str">
        <x:f>'IT14-NotifyChat'!B2</x:f>
        <x:v>IT14 - Thông báo và hỗ trợ chat</x:v>
      </x:c>
      <x:c r="D24" s="64" t="n">
        <x:f>'IT14-NotifyChat'!B6</x:f>
        <x:v>0</x:v>
      </x:c>
      <x:c r="E24" s="64" t="n">
        <x:f>'IT14-NotifyChat'!C6</x:f>
        <x:v>0</x:v>
      </x:c>
      <x:c r="F24" s="64" t="n">
        <x:f>'IT14-NotifyChat'!D6</x:f>
        <x:v>6</x:v>
      </x:c>
      <x:c r="G24" s="64" t="n">
        <x:f>'IT14-NotifyChat'!E6</x:f>
        <x:v>0</x:v>
      </x:c>
      <x:c r="H24" s="64" t="n">
        <x:f>'IT14-NotifyChat'!B4</x:f>
        <x:v>0</x:v>
      </x:c>
    </x:row>
    <x:row r="25">
      <x:c r="A25" s="56"/>
      <x:c r="B25" s="62">
        <x:v>15</x:v>
      </x:c>
      <x:c r="C25" s="63" t="str">
        <x:f>'IT15-JourneyReport'!B2</x:f>
        <x:v>IT15 - Hành trình, báo cáo và phản hồi</x:v>
      </x:c>
      <x:c r="D25" s="64" t="n">
        <x:f>'IT15-JourneyReport'!B6</x:f>
        <x:v>0</x:v>
      </x:c>
      <x:c r="E25" s="64" t="n">
        <x:f>'IT15-JourneyReport'!C6</x:f>
        <x:v>0</x:v>
      </x:c>
      <x:c r="F25" s="64" t="n">
        <x:f>'IT15-JourneyReport'!D6</x:f>
        <x:v>6</x:v>
      </x:c>
      <x:c r="G25" s="64" t="n">
        <x:f>'IT15-JourneyReport'!E6</x:f>
        <x:v>0</x:v>
      </x:c>
      <x:c r="H25" s="64" t="n">
        <x:f>'IT15-JourneyReport'!B4</x:f>
        <x:v>0</x:v>
      </x:c>
    </x:row>
    <x:row r="27">
      <x:c r="C27" s="68" t="inlineStr">
        <x:is>
          <x:t xml:space="preserve">Sub total</x:t>
        </x:is>
      </x:c>
      <x:c r="D27" s="69" t="n">
        <x:f>SUM(D11:D25)</x:f>
        <x:v>0</x:v>
      </x:c>
      <x:c r="E27" s="69" t="n">
        <x:f>SUM(E11:E25)</x:f>
        <x:v>0</x:v>
      </x:c>
      <x:c r="F27" s="69" t="n">
        <x:f>SUM(F11:F25)</x:f>
        <x:v>90</x:v>
      </x:c>
      <x:c r="G27" s="69" t="n">
        <x:f>SUM(G11:G25)</x:f>
        <x:v>0</x:v>
      </x:c>
      <x:c r="H27" s="69" t="n">
        <x:f>SUM(H11:H25)</x:f>
        <x:v>0</x:v>
      </x:c>
    </x:row>
    <x:row r="29">
      <x:c r="C29" s="74" t="inlineStr">
        <x:is>
          <x:t xml:space="preserve">Test coverage</x:t>
        </x:is>
      </x:c>
      <x:c r="E29" s="75" t="n">
        <x:f>IFERROR((D27+E27)*100/(H27-G27),0)</x:f>
        <x:v>0</x:v>
      </x:c>
      <x:c r="F29" s="1" t="inlineStr">
        <x:is>
          <x:t xml:space="preserve">%</x:t>
        </x:is>
      </x:c>
    </x:row>
    <x:row r="30">
      <x:c r="C30" s="74" t="inlineStr">
        <x:is>
          <x:t xml:space="preserve">Test successful coverage</x:t>
        </x:is>
      </x:c>
      <x:c r="E30" s="75" t="n">
        <x:f>IFERROR(D27*100/(H27-G27),0)</x:f>
        <x:v>0</x:v>
      </x:c>
      <x:c r="F30" s="1" t="inlineStr">
        <x:is>
          <x:t xml:space="preserve">%</x:t>
        </x:is>
      </x:c>
    </x:row>
  </x:sheetData>
  <x:mergeCells>
    <x:mergeCell ref="C5:D5"/>
    <x:mergeCell ref="E5:F5"/>
    <x:mergeCell ref="C6:H6"/>
    <x:mergeCell ref="B1:H1"/>
    <x:mergeCell ref="C3:D3"/>
    <x:mergeCell ref="E3:F3"/>
    <x:mergeCell ref="C4:D4"/>
    <x:mergeCell ref="E4:F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4.12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inlineStr">
        <x:is>
          <x:t xml:space="preserve">IT01 - Đăng ký và xác thực OTP</x:t>
        </x:is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inlineStr">
        <x:is>
          <x:t xml:space="preserve">Redis OTP -&gt; Account -&gt; Profile -&gt; JWT.</x:t>
        </x:is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f>COUNTIF(A12:A1000,"IT*")</x:f>
        <x:v>0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inlineStr">
        <x:is>
          <x:t xml:space="preserve">Test Case ID</x:t>
        </x:is>
      </x:c>
      <x:c r="B10" s="83" t="inlineStr">
        <x:is>
          <x:t xml:space="preserve">Test Case Description</x:t>
        </x:is>
      </x:c>
      <x:c r="C10" s="83" t="inlineStr">
        <x:is>
          <x:t xml:space="preserve">Test Case Procedure</x:t>
        </x:is>
      </x:c>
      <x:c r="D10" s="83" t="inlineStr">
        <x:is>
          <x:t xml:space="preserve">Expected Results</x:t>
        </x:is>
      </x:c>
      <x:c r="E10" s="83" t="inlineStr">
        <x:is>
          <x:t xml:space="preserve">Pre-conditions</x:t>
        </x:is>
      </x:c>
      <x:c r="F10" s="83" t="inlineStr">
        <x:is>
          <x:t xml:space="preserve">Round 1</x:t>
        </x:is>
      </x:c>
      <x:c r="G10" s="83" t="inlineStr">
        <x:is>
          <x:t xml:space="preserve">Test date</x:t>
        </x:is>
      </x:c>
      <x:c r="H10" s="83" t="inlineStr">
        <x:is>
          <x:t xml:space="preserve">Tester</x:t>
        </x:is>
      </x:c>
      <x:c r="I10" s="83" t="inlineStr">
        <x:is>
          <x:t xml:space="preserve">Round 2</x:t>
        </x:is>
      </x:c>
      <x:c r="J10" s="83" t="inlineStr">
        <x:is>
          <x:t xml:space="preserve">Test date</x:t>
        </x:is>
      </x:c>
      <x:c r="K10" s="83" t="inlineStr">
        <x:is>
          <x:t xml:space="preserve">Tester</x:t>
        </x:is>
      </x:c>
      <x:c r="L10" s="83" t="inlineStr">
        <x:is>
          <x:t xml:space="preserve">Round 3</x:t>
        </x:is>
      </x:c>
      <x:c r="M10" s="83" t="inlineStr">
        <x:is>
          <x:t xml:space="preserve">Test date</x:t>
        </x:is>
      </x:c>
      <x:c r="N10" s="83" t="inlineStr">
        <x:is>
          <x:t xml:space="preserve">Tester</x:t>
        </x:is>
      </x:c>
      <x:c r="O10" s="83" t="inlineStr">
        <x:is>
          <x:t xml:space="preserve">Note</x:t>
        </x:is>
      </x:c>
      <x:c r="Q10" s="34"/>
    </x:row>
    <x:row r="11" s="30" customFormat="1" ht="18" customHeight="1">
      <x:c r="A11" s="79" t="inlineStr">
        <x:is>
          <x:t xml:space="preserve">OTP và đăng ký hợp lệ</x:t>
        </x:is>
      </x:c>
      <x:c r="Q11" s="38"/>
    </x:row>
    <x:row r="12" s="44" customFormat="1" ht="105" customHeight="1">
      <x:c r="A12" s="39" t="inlineStr">
        <x:is>
          <x:t xml:space="preserve">IT01-001</x:t>
        </x:is>
      </x:c>
      <x:c r="B12" s="39" t="inlineStr">
        <x:is>
          <x:t xml:space="preserve">Đăng ký thành công bằng SĐT</x:t>
        </x:is>
      </x:c>
      <x:c r="C12" s="39" t="inlineStr">
        <x:is>
          <x:t xml:space="preserve">1. POST /send-otp 0912345678
2. POST /verify-register-otp OTP 6 số
3. POST /register password=Abc12345.</x:t>
        </x:is>
      </x:c>
      <x:c r="D12" s="45" t="inlineStr">
        <x:is>
          <x:t xml:space="preserve">200; tạo Account CUSTOMER + Profile; consume OTP; trả access/refresh token.</x:t>
        </x:is>
      </x:c>
      <x:c r="E12" s="39" t="inlineStr">
        <x:is>
          <x:t xml:space="preserve">Redis/PostgreSQL chạy; SĐT chưa có account.</x:t>
        </x:is>
      </x:c>
      <x:c r="F12" s="39" t="inlineStr">
        <x:is>
          <x:t xml:space="preserve">Pending</x:t>
        </x:is>
      </x:c>
      <x:c r="I12" s="39" t="inlineStr">
        <x:is>
          <x:t xml:space="preserve">Pending</x:t>
        </x:is>
      </x:c>
      <x:c r="L12" s="39" t="inlineStr">
        <x:is>
          <x:t xml:space="preserve">Pending</x:t>
        </x:is>
      </x:c>
      <x:c r="O12" s="39" t="inlineStr">
        <x:is>
          <x:t xml:space="preserve">VP1,VP2,VP3,VB4,VP5,VP6,VP7</x:t>
        </x:is>
      </x:c>
      <x:c r="Q12" s="43"/>
    </x:row>
    <x:row r="13" ht="18">
      <x:c r="A13" s="79" t="inlineStr">
        <x:is>
          <x:t xml:space="preserve">Validation và trạng thái OTP</x:t>
        </x:is>
      </x:c>
      <x:c r="Q13" s="43"/>
    </x:row>
    <x:row r="14" ht="105" customHeight="1">
      <x:c r="A14" s="39" t="inlineStr">
        <x:is>
          <x:t xml:space="preserve">IT01-002</x:t>
        </x:is>
      </x:c>
      <x:c r="B14" s="39" t="inlineStr">
        <x:is>
          <x:t xml:space="preserve">Từ chối OTP 5 số</x:t>
        </x:is>
      </x:c>
      <x:c r="C14" s="39" t="inlineStr">
        <x:is>
          <x:t xml:space="preserve">POST /verify-register-otp otp=12345.</x:t>
        </x:is>
      </x:c>
      <x:c r="D14" s="45" t="inlineStr">
        <x:is>
          <x:t xml:space="preserve">400; không tạo otp_verified.</x:t>
        </x:is>
      </x:c>
      <x:c r="E14" s="39" t="inlineStr">
        <x:is>
          <x:t xml:space="preserve">Đã gửi OTP.</x:t>
        </x:is>
      </x:c>
      <x:c r="F14" s="39" t="inlineStr">
        <x:is>
          <x:t xml:space="preserve">Pending</x:t>
        </x:is>
      </x:c>
      <x:c r="I14" s="39" t="inlineStr">
        <x:is>
          <x:t xml:space="preserve">Pending</x:t>
        </x:is>
      </x:c>
      <x:c r="L14" s="39" t="inlineStr">
        <x:is>
          <x:t xml:space="preserve">Pending</x:t>
        </x:is>
      </x:c>
      <x:c r="O14" s="39" t="inlineStr">
        <x:is>
          <x:t xml:space="preserve">IB2</x:t>
        </x:is>
      </x:c>
      <x:c r="Q14" s="43"/>
    </x:row>
    <x:row r="15" s="30" customFormat="1" ht="105" customHeight="1">
      <x:c r="A15" s="39" t="inlineStr">
        <x:is>
          <x:t xml:space="preserve">IT01-003</x:t>
        </x:is>
      </x:c>
      <x:c r="B15" s="39" t="inlineStr">
        <x:is>
          <x:t xml:space="preserve">Đăng ký khi chưa verify OTP</x:t>
        </x:is>
      </x:c>
      <x:c r="C15" s="39" t="inlineStr">
        <x:is>
          <x:t xml:space="preserve">POST /register với dữ liệu hợp lệ.</x:t>
        </x:is>
      </x:c>
      <x:c r="D15" s="45" t="inlineStr">
        <x:is>
          <x:t xml:space="preserve">400; không tạo Account/Profile.</x:t>
        </x:is>
      </x:c>
      <x:c r="E15" s="39" t="inlineStr">
        <x:is>
          <x:t xml:space="preserve">Không có otp_verified.</x:t>
        </x:is>
      </x:c>
      <x:c r="F15" s="39" t="inlineStr">
        <x:is>
          <x:t xml:space="preserve">Pending</x:t>
        </x:is>
      </x:c>
      <x:c r="I15" s="39" t="inlineStr">
        <x:is>
          <x:t xml:space="preserve">Pending</x:t>
        </x:is>
      </x:c>
      <x:c r="L15" s="39" t="inlineStr">
        <x:is>
          <x:t xml:space="preserve">Pending</x:t>
        </x:is>
      </x:c>
      <x:c r="O15" s="39" t="inlineStr">
        <x:is>
          <x:t xml:space="preserve">IP3</x:t>
        </x:is>
      </x:c>
      <x:c r="Q15" s="38"/>
    </x:row>
    <x:row r="16" ht="105" customHeight="1">
      <x:c r="A16" s="39" t="inlineStr">
        <x:is>
          <x:t xml:space="preserve">IT01-004</x:t>
        </x:is>
      </x:c>
      <x:c r="B16" s="39" t="inlineStr">
        <x:is>
          <x:t xml:space="preserve">Password 7 ký tự</x:t>
        </x:is>
      </x:c>
      <x:c r="C16" s="39" t="inlineStr">
        <x:is>
          <x:t xml:space="preserve">Verify OTP rồi đăng ký password=Abc1234.</x:t>
        </x:is>
      </x:c>
      <x:c r="D16" s="45" t="inlineStr">
        <x:is>
          <x:t xml:space="preserve">400 validation; không ghi DB.</x:t>
        </x:is>
      </x:c>
      <x:c r="E16" s="39" t="inlineStr">
        <x:is>
          <x:t xml:space="preserve">OTP verified.</x:t>
        </x:is>
      </x:c>
      <x:c r="F16" s="39" t="inlineStr">
        <x:is>
          <x:t xml:space="preserve">Pending</x:t>
        </x:is>
      </x:c>
      <x:c r="I16" s="39" t="inlineStr">
        <x:is>
          <x:t xml:space="preserve">Pending</x:t>
        </x:is>
      </x:c>
      <x:c r="L16" s="39" t="inlineStr">
        <x:is>
          <x:t xml:space="preserve">Pending</x:t>
        </x:is>
      </x:c>
      <x:c r="O16" s="39" t="inlineStr">
        <x:is>
          <x:t xml:space="preserve">IB4</x:t>
        </x:is>
      </x:c>
      <x:c r="Q16" s="43"/>
    </x:row>
    <x:row r="17" ht="18">
      <x:c r="A17" s="79" t="inlineStr">
        <x:is>
          <x:t xml:space="preserve">Ràng buộc dữ liệu</x:t>
        </x:is>
      </x:c>
    </x:row>
    <x:row r="18" s="30" customFormat="1" ht="105" customHeight="1">
      <x:c r="A18" s="39" t="inlineStr">
        <x:is>
          <x:t xml:space="preserve">IT01-005</x:t>
        </x:is>
      </x:c>
      <x:c r="B18" s="39" t="inlineStr">
        <x:is>
          <x:t xml:space="preserve">SĐT đã gắn tài khoản</x:t>
        </x:is>
      </x:c>
      <x:c r="C18" s="39" t="inlineStr">
        <x:is>
          <x:t xml:space="preserve">Đăng ký lại cùng SĐT.</x:t>
        </x:is>
      </x:c>
      <x:c r="D18" s="45" t="inlineStr">
        <x:is>
          <x:t xml:space="preserve">400; vẫn chỉ một Account/Profile.</x:t>
        </x:is>
      </x:c>
      <x:c r="E18" s="39" t="inlineStr">
        <x:is>
          <x:t xml:space="preserve">SĐT đã có account.</x:t>
        </x:is>
      </x:c>
      <x:c r="F18" s="39" t="inlineStr">
        <x:is>
          <x:t xml:space="preserve">Pending</x:t>
        </x:is>
      </x:c>
      <x:c r="I18" s="39" t="inlineStr">
        <x:is>
          <x:t xml:space="preserve">Pending</x:t>
        </x:is>
      </x:c>
      <x:c r="L18" s="39" t="inlineStr">
        <x:is>
          <x:t xml:space="preserve">Pending</x:t>
        </x:is>
      </x:c>
      <x:c r="O18" s="39" t="inlineStr">
        <x:is>
          <x:t xml:space="preserve">IP7</x:t>
        </x:is>
      </x:c>
      <x:c r="Q18" s="38"/>
    </x:row>
    <x:row r="19" ht="105" customHeight="1">
      <x:c r="A19" s="39" t="inlineStr">
        <x:is>
          <x:t xml:space="preserve">IT01-006</x:t>
        </x:is>
      </x:c>
      <x:c r="B19" s="39" t="inlineStr">
        <x:is>
          <x:t xml:space="preserve">Ngày sinh tương lai</x:t>
        </x:is>
      </x:c>
      <x:c r="C19" s="39" t="inlineStr">
        <x:is>
          <x:t xml:space="preserve">Đăng ký với dob=ngày mai.</x:t>
        </x:is>
      </x:c>
      <x:c r="D19" s="45" t="inlineStr">
        <x:is>
          <x:t xml:space="preserve">400; không tạo dữ liệu.</x:t>
        </x:is>
      </x:c>
      <x:c r="E19" s="39" t="inlineStr">
        <x:is>
          <x:t xml:space="preserve">Identifier mới, OTP verified.</x:t>
        </x:is>
      </x:c>
      <x:c r="F19" s="39" t="inlineStr">
        <x:is>
          <x:t xml:space="preserve">Pending</x:t>
        </x:is>
      </x:c>
      <x:c r="I19" s="39" t="inlineStr">
        <x:is>
          <x:t xml:space="preserve">Pending</x:t>
        </x:is>
      </x:c>
      <x:c r="L19" s="39" t="inlineStr">
        <x:is>
          <x:t xml:space="preserve">Pending</x:t>
        </x:is>
      </x:c>
      <x:c r="O19" s="39" t="inlineStr">
        <x:is>
          <x:t xml:space="preserve">IB6</x:t>
        </x:is>
      </x:c>
      <x:c r="Q19" s="43"/>
    </x:row>
  </x:sheetData>
  <x:mergeCells>
    <x:mergeCell ref="B2:E2"/>
    <x:mergeCell ref="B4:E4"/>
    <x:mergeCell ref="B3:E3"/>
  </x:mergeCells>
  <x:dataValidations count="2">
    <x:dataValidation type="list" allowBlank="1" showErrorMessage="1" sqref="F12:F19 I12:I19 L12:L19">
      <x:formula1>$R$2:$R$5</x:formula1>
      <x:formula2>0</x:formula2>
    </x:dataValidation>
    <x:dataValidation allowBlank="1" showErrorMessage="1" sqref="F12:F19 I12:I19 L12:L19"/>
  </x:dataValidations>
  <x:pageMargins left="0.7" right="0.7" top="0.75" bottom="0.75" header="0.3" footer="0.3"/>
  <x:legacyDrawing xmlns:r="http://schemas.openxmlformats.org/officeDocument/2006/relationships" r:id="R2ff23610ce1d4a25"/>
</x:worksheet>
</file>

<file path=xl/worksheets/sheet5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inlineStr">
        <x:is>
          <x:t xml:space="preserve">Test Condition Analysis</x:t>
        </x:is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inlineStr">
        <x:is>
          <x:t xml:space="preserve">Condition</x:t>
        </x:is>
      </x:c>
      <x:c r="B2" s="83" t="inlineStr">
        <x:is>
          <x:t xml:space="preserve">Valid Partitions</x:t>
        </x:is>
      </x:c>
      <x:c r="C2" s="83" t="inlineStr">
        <x:is>
          <x:t xml:space="preserve">Tag</x:t>
        </x:is>
      </x:c>
      <x:c r="D2" s="83" t="inlineStr">
        <x:is>
          <x:t xml:space="preserve">Invalid Partitions</x:t>
        </x:is>
      </x:c>
      <x:c r="E2" s="83" t="inlineStr">
        <x:is>
          <x:t xml:space="preserve">Tag</x:t>
        </x:is>
      </x:c>
      <x:c r="F2" s="83" t="inlineStr">
        <x:is>
          <x:t xml:space="preserve">Valid Boundaries</x:t>
        </x:is>
      </x:c>
      <x:c r="G2" s="83" t="inlineStr">
        <x:is>
          <x:t xml:space="preserve">Tag</x:t>
        </x:is>
      </x:c>
      <x:c r="H2" s="83" t="inlineStr">
        <x:is>
          <x:t xml:space="preserve">Invalid Boundaries</x:t>
        </x:is>
      </x:c>
      <x:c r="I2" s="83" t="inlineStr">
        <x:is>
          <x:t xml:space="preserve">Tag</x:t>
        </x:is>
      </x:c>
    </x:row>
    <x:row r="3" ht="42" customHeight="1">
      <x:c r="A3" s="130" t="inlineStr">
        <x:is>
          <x:t xml:space="preserve">identifier</x:t>
        </x:is>
      </x:c>
      <x:c r="B3" s="129" t="inlineStr">
        <x:is>
          <x:t xml:space="preserve">Email hợp lệ hoặc SĐT VN 0/+84</x:t>
        </x:is>
      </x:c>
      <x:c r="C3" s="129" t="inlineStr">
        <x:is>
          <x:t xml:space="preserve">VP1</x:t>
        </x:is>
      </x:c>
      <x:c r="D3" s="129" t="inlineStr">
        <x:is>
          <x:t xml:space="preserve">Rỗng/sai định dạng</x:t>
        </x:is>
      </x:c>
      <x:c r="E3" s="129" t="inlineStr">
        <x:is>
          <x:t xml:space="preserve">IP1</x:t>
        </x:is>
      </x:c>
      <x:c r="F3" s="129" t="inlineStr">
        <x:is>
          <x:t xml:space="preserve">Chuỗi ngắn nhất hợp lệ</x:t>
        </x:is>
      </x:c>
      <x:c r="G3" s="129" t="inlineStr">
        <x:is>
          <x:t xml:space="preserve">VB1</x:t>
        </x:is>
      </x:c>
      <x:c r="H3" s="129" t="inlineStr">
        <x:is>
          <x:t xml:space="preserve">Thiếu chữ số/domain</x:t>
        </x:is>
      </x:c>
      <x:c r="I3" s="129" t="inlineStr">
        <x:is>
          <x:t xml:space="preserve">IB1</x:t>
        </x:is>
      </x:c>
    </x:row>
    <x:row r="4" ht="42" customHeight="1">
      <x:c r="A4" s="130" t="inlineStr">
        <x:is>
          <x:t xml:space="preserve">OTP</x:t>
        </x:is>
      </x:c>
      <x:c r="B4" s="129" t="inlineStr">
        <x:is>
          <x:t xml:space="preserve">Đúng 6 số, còn hạn</x:t>
        </x:is>
      </x:c>
      <x:c r="C4" s="129" t="inlineStr">
        <x:is>
          <x:t xml:space="preserve">VP2</x:t>
        </x:is>
      </x:c>
      <x:c r="D4" s="129" t="inlineStr">
        <x:is>
          <x:t xml:space="preserve">Sai/hết hạn</x:t>
        </x:is>
      </x:c>
      <x:c r="E4" s="129" t="inlineStr">
        <x:is>
          <x:t xml:space="preserve">IP2</x:t>
        </x:is>
      </x:c>
      <x:c r="F4" s="129" t="inlineStr">
        <x:is>
          <x:t xml:space="preserve">6 số</x:t>
        </x:is>
      </x:c>
      <x:c r="G4" s="129" t="inlineStr">
        <x:is>
          <x:t xml:space="preserve">VB2</x:t>
        </x:is>
      </x:c>
      <x:c r="H4" s="129" t="inlineStr">
        <x:is>
          <x:t xml:space="preserve">5 hoặc 7 số</x:t>
        </x:is>
      </x:c>
      <x:c r="I4" s="129" t="inlineStr">
        <x:is>
          <x:t xml:space="preserve">IB2</x:t>
        </x:is>
      </x:c>
    </x:row>
    <x:row r="5" ht="42" customHeight="1">
      <x:c r="A5" s="130" t="inlineStr">
        <x:is>
          <x:t xml:space="preserve">OTP verified</x:t>
        </x:is>
      </x:c>
      <x:c r="B5" s="129" t="inlineStr">
        <x:is>
          <x:t xml:space="preserve">Đã verify trong 15 phút</x:t>
        </x:is>
      </x:c>
      <x:c r="C5" s="129" t="inlineStr">
        <x:is>
          <x:t xml:space="preserve">VP3</x:t>
        </x:is>
      </x:c>
      <x:c r="D5" s="129" t="inlineStr">
        <x:is>
          <x:t xml:space="preserve">Chưa verify/quá hạn</x:t>
        </x:is>
      </x:c>
      <x:c r="E5" s="129" t="inlineStr">
        <x:is>
          <x:t xml:space="preserve">IP3</x:t>
        </x:is>
      </x:c>
      <x:c r="F5" s="129" t="inlineStr">
        <x:is>
          <x:t xml:space="preserve">Phút 15</x:t>
        </x:is>
      </x:c>
      <x:c r="G5" s="129" t="inlineStr">
        <x:is>
          <x:t xml:space="preserve">VB3</x:t>
        </x:is>
      </x:c>
      <x:c r="H5" s="129" t="inlineStr">
        <x:is>
          <x:t xml:space="preserve">Sau 15 phút</x:t>
        </x:is>
      </x:c>
      <x:c r="I5" s="129" t="inlineStr">
        <x:is>
          <x:t xml:space="preserve">IB3</x:t>
        </x:is>
      </x:c>
    </x:row>
    <x:row r="6" ht="42" customHeight="1">
      <x:c r="A6" s="130" t="inlineStr">
        <x:is>
          <x:t xml:space="preserve">password</x:t>
        </x:is>
      </x:c>
      <x:c r="B6" s="129" t="inlineStr">
        <x:is>
          <x:t xml:space="preserve">8-64 ký tự</x:t>
        </x:is>
      </x:c>
      <x:c r="C6" s="129" t="inlineStr">
        <x:is>
          <x:t xml:space="preserve">VP4</x:t>
        </x:is>
      </x:c>
      <x:c r="D6" s="129" t="inlineStr">
        <x:is>
          <x:t xml:space="preserve">&lt;8, &gt;64 hoặc rỗng</x:t>
        </x:is>
      </x:c>
      <x:c r="E6" s="129" t="inlineStr">
        <x:is>
          <x:t xml:space="preserve">IP4</x:t>
        </x:is>
      </x:c>
      <x:c r="F6" s="129" t="inlineStr">
        <x:is>
          <x:t xml:space="preserve">8 và 64</x:t>
        </x:is>
      </x:c>
      <x:c r="G6" s="129" t="inlineStr">
        <x:is>
          <x:t xml:space="preserve">VB4</x:t>
        </x:is>
      </x:c>
      <x:c r="H6" s="129" t="inlineStr">
        <x:is>
          <x:t xml:space="preserve">7 và 65</x:t>
        </x:is>
      </x:c>
      <x:c r="I6" s="129" t="inlineStr">
        <x:is>
          <x:t xml:space="preserve">IB4</x:t>
        </x:is>
      </x:c>
    </x:row>
    <x:row r="7" ht="42" customHeight="1">
      <x:c r="A7" s="130" t="inlineStr">
        <x:is>
          <x:t xml:space="preserve">fullName</x:t>
        </x:is>
      </x:c>
      <x:c r="B7" s="129" t="inlineStr">
        <x:is>
          <x:t xml:space="preserve">Không rỗng</x:t>
        </x:is>
      </x:c>
      <x:c r="C7" s="129" t="inlineStr">
        <x:is>
          <x:t xml:space="preserve">VP5</x:t>
        </x:is>
      </x:c>
      <x:c r="D7" s="129" t="inlineStr">
        <x:is>
          <x:t xml:space="preserve">Null/rỗng</x:t>
        </x:is>
      </x:c>
      <x:c r="E7" s="129" t="inlineStr">
        <x:is>
          <x:t xml:space="preserve">IP5</x:t>
        </x:is>
      </x:c>
      <x:c r="F7" s="129" t="inlineStr">
        <x:is>
          <x:t xml:space="preserve">1 ký tự</x:t>
        </x:is>
      </x:c>
      <x:c r="G7" s="129" t="inlineStr">
        <x:is>
          <x:t xml:space="preserve">VB5</x:t>
        </x:is>
      </x:c>
      <x:c r="H7" s="129" t="inlineStr">
        <x:is>
          <x:t xml:space="preserve">0 ký tự</x:t>
        </x:is>
      </x:c>
      <x:c r="I7" s="129" t="inlineStr">
        <x:is>
          <x:t xml:space="preserve">IB5</x:t>
        </x:is>
      </x:c>
    </x:row>
    <x:row r="8" ht="42" customHeight="1">
      <x:c r="A8" s="130" t="inlineStr">
        <x:is>
          <x:t xml:space="preserve">dob</x:t>
        </x:is>
      </x:c>
      <x:c r="B8" s="129" t="inlineStr">
        <x:is>
          <x:t xml:space="preserve">Không tương lai, tuổi &lt;=150</x:t>
        </x:is>
      </x:c>
      <x:c r="C8" s="129" t="inlineStr">
        <x:is>
          <x:t xml:space="preserve">VP6</x:t>
        </x:is>
      </x:c>
      <x:c r="D8" s="129" t="inlineStr">
        <x:is>
          <x:t xml:space="preserve">Tương lai hoặc &gt;150</x:t>
        </x:is>
      </x:c>
      <x:c r="E8" s="129" t="inlineStr">
        <x:is>
          <x:t xml:space="preserve">IP6</x:t>
        </x:is>
      </x:c>
      <x:c r="F8" s="129" t="inlineStr">
        <x:is>
          <x:t xml:space="preserve">Hôm nay/150 tuổi</x:t>
        </x:is>
      </x:c>
      <x:c r="G8" s="129" t="inlineStr">
        <x:is>
          <x:t xml:space="preserve">VB6</x:t>
        </x:is>
      </x:c>
      <x:c r="H8" s="129" t="inlineStr">
        <x:is>
          <x:t xml:space="preserve">Ngày mai/151 tuổi</x:t>
        </x:is>
      </x:c>
      <x:c r="I8" s="129" t="inlineStr">
        <x:is>
          <x:t xml:space="preserve">IB6</x:t>
        </x:is>
      </x:c>
      <x:c r="K8" s="179" t="s">
        <x:v>36</x:v>
      </x:c>
      <x:c r="L8" s="179" t="s">
        <x:v>37</x:v>
      </x:c>
    </x:row>
    <x:row r="9" ht="42" customHeight="1">
      <x:c r="A9" s="130" t="inlineStr">
        <x:is>
          <x:t xml:space="preserve">identifier uniqueness</x:t>
        </x:is>
      </x:c>
      <x:c r="B9" s="129" t="inlineStr">
        <x:is>
          <x:t xml:space="preserve">Chưa gắn account</x:t>
        </x:is>
      </x:c>
      <x:c r="C9" s="129" t="inlineStr">
        <x:is>
          <x:t xml:space="preserve">VP7</x:t>
        </x:is>
      </x:c>
      <x:c r="D9" s="129" t="inlineStr">
        <x:is>
          <x:t xml:space="preserve">Đã gắn account khác</x:t>
        </x:is>
      </x:c>
      <x:c r="E9" s="129" t="inlineStr">
        <x:is>
          <x:t xml:space="preserve">IP7</x:t>
        </x:is>
      </x:c>
      <x:c r="F9" s="129" t="inlineStr">
        <x:is>
          <x:t xml:space="preserve">N/A</x:t>
        </x:is>
      </x:c>
      <x:c r="G9" s="129" t="inlineStr">
        <x:is>
          <x:t xml:space="preserve">VB7</x:t>
        </x:is>
      </x:c>
      <x:c r="H9" s="129" t="inlineStr">
        <x:is>
          <x:t xml:space="preserve">N/A</x:t>
        </x:is>
      </x:c>
      <x:c r="I9" s="129" t="inlineStr">
        <x:is>
          <x:t xml:space="preserve">IB7</x:t>
        </x:is>
      </x:c>
    </x:row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inlineStr">
        <x:is>
          <x:t xml:space="preserve">* Notes:</x:t>
        </x:is>
      </x:c>
      <x:c r="B27" s="141" t="inlineStr">
        <x:is>
          <x:t xml:space="preserve">Đối chiếu tag VP/IP/VB/IB với Test Design.</x:t>
        </x:is>
      </x:c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inlineStr">
        <x:is>
          <x:t xml:space="preserve">Test case design</x:t>
        </x:is>
      </x:c>
      <x:c r="B1" s="172"/>
      <x:c r="C1" s="172"/>
      <x:c r="D1" s="172"/>
    </x:row>
    <x:row r="2" ht="25.5">
      <x:c r="A2" s="83" t="inlineStr">
        <x:is>
          <x:t xml:space="preserve">Test-case No</x:t>
        </x:is>
      </x:c>
      <x:c r="B2" s="83" t="inlineStr">
        <x:is>
          <x:t xml:space="preserve">Description</x:t>
        </x:is>
      </x:c>
      <x:c r="C2" s="83" t="inlineStr">
        <x:is>
          <x:t xml:space="preserve">Expected result</x:t>
        </x:is>
      </x:c>
      <x:c r="D2" s="83" t="inlineStr">
        <x:is>
          <x:t xml:space="preserve">TAG</x:t>
        </x:is>
      </x:c>
    </x:row>
    <x:row r="3" ht="82" customHeight="1">
      <x:c r="A3" s="152">
        <x:v>1</x:v>
      </x:c>
      <x:c r="B3" s="151" t="inlineStr">
        <x:is>
          <x:t xml:space="preserve">Đăng ký bằng SĐT sau khi verify OTP; password 8 ký tự.</x:t>
        </x:is>
      </x:c>
      <x:c r="C3" s="151" t="inlineStr">
        <x:is>
          <x:t xml:space="preserve">200; tạo Account CUSTOMER + Profile; consume OTP; trả JWT.</x:t>
        </x:is>
      </x:c>
      <x:c r="D3" s="151" t="inlineStr">
        <x:is>
          <x:t xml:space="preserve">VP1,VP2,VP3,VB4,VP5,VP6,VP7</x:t>
        </x:is>
      </x:c>
    </x:row>
    <x:row r="4" ht="82" customHeight="1">
      <x:c r="A4" s="152">
        <x:v>2</x:v>
      </x:c>
      <x:c r="B4" s="151" t="inlineStr">
        <x:is>
          <x:t xml:space="preserve">Verify OTP 5 chữ số.</x:t>
        </x:is>
      </x:c>
      <x:c r="C4" s="151" t="inlineStr">
        <x:is>
          <x:t xml:space="preserve">400; không tạo otp_verified.</x:t>
        </x:is>
      </x:c>
      <x:c r="D4" s="151" t="inlineStr">
        <x:is>
          <x:t xml:space="preserve">IB2</x:t>
        </x:is>
      </x:c>
    </x:row>
    <x:row r="5" ht="82" customHeight="1">
      <x:c r="A5" s="152">
        <x:v>3</x:v>
      </x:c>
      <x:c r="B5" s="151" t="inlineStr">
        <x:is>
          <x:t xml:space="preserve">Đăng ký khi chưa verify OTP.</x:t>
        </x:is>
      </x:c>
      <x:c r="C5" s="151" t="inlineStr">
        <x:is>
          <x:t xml:space="preserve">400; không tạo Account/Profile.</x:t>
        </x:is>
      </x:c>
      <x:c r="D5" s="151" t="inlineStr">
        <x:is>
          <x:t xml:space="preserve">IP3</x:t>
        </x:is>
      </x:c>
    </x:row>
    <x:row r="6" ht="82" customHeight="1">
      <x:c r="A6" s="152">
        <x:v>4</x:v>
      </x:c>
      <x:c r="B6" s="151" t="inlineStr">
        <x:is>
          <x:t xml:space="preserve">Đăng ký với password 7 ký tự.</x:t>
        </x:is>
      </x:c>
      <x:c r="C6" s="151" t="inlineStr">
        <x:is>
          <x:t xml:space="preserve">400 validation; không ghi DB.</x:t>
        </x:is>
      </x:c>
      <x:c r="D6" s="151" t="inlineStr">
        <x:is>
          <x:t xml:space="preserve">IB4</x:t>
        </x:is>
      </x:c>
    </x:row>
    <x:row r="7" ht="82" customHeight="1">
      <x:c r="A7" s="152">
        <x:v>5</x:v>
      </x:c>
      <x:c r="B7" s="151" t="inlineStr">
        <x:is>
          <x:t xml:space="preserve">Đăng ký lại SĐT đã gắn account.</x:t>
        </x:is>
      </x:c>
      <x:c r="C7" s="151" t="inlineStr">
        <x:is>
          <x:t xml:space="preserve">400; không tạo dữ liệu trùng.</x:t>
        </x:is>
      </x:c>
      <x:c r="D7" s="151" t="inlineStr">
        <x:is>
          <x:t xml:space="preserve">IP7</x:t>
        </x:is>
      </x:c>
    </x:row>
    <x:row r="8" ht="82" customHeight="1">
      <x:c r="A8" s="152">
        <x:v>6</x:v>
      </x:c>
      <x:c r="B8" s="151" t="inlineStr">
        <x:is>
          <x:t xml:space="preserve">Đăng ký với ngày sinh ngày mai.</x:t>
        </x:is>
      </x:c>
      <x:c r="C8" s="151" t="inlineStr">
        <x:is>
          <x:t xml:space="preserve">400; ngày sinh không thể ở tương lai.</x:t>
        </x:is>
      </x:c>
      <x:c r="D8" s="151" t="inlineStr">
        <x:is>
          <x:t xml:space="preserve">IB6</x:t>
        </x:is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inlineStr">
        <x:is>
          <x:t xml:space="preserve">IT04 - Đặt lịch và check-in</x:t>
        </x:is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inlineStr">
        <x:is>
          <x:t xml:space="preserve">Appointment -&gt; CustomerVisit -&gt; Invoice; QueueTicket sau thanh toán.</x:t>
        </x:is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f>COUNTIF(A12:A1000,"IT*")</x:f>
        <x:v>0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inlineStr">
        <x:is>
          <x:t xml:space="preserve">Test Case ID</x:t>
        </x:is>
      </x:c>
      <x:c r="B10" s="83" t="inlineStr">
        <x:is>
          <x:t xml:space="preserve">Test Case Description</x:t>
        </x:is>
      </x:c>
      <x:c r="C10" s="83" t="inlineStr">
        <x:is>
          <x:t xml:space="preserve">Test Case Procedure</x:t>
        </x:is>
      </x:c>
      <x:c r="D10" s="83" t="inlineStr">
        <x:is>
          <x:t xml:space="preserve">Expected Results</x:t>
        </x:is>
      </x:c>
      <x:c r="E10" s="83" t="inlineStr">
        <x:is>
          <x:t xml:space="preserve">Pre-conditions</x:t>
        </x:is>
      </x:c>
      <x:c r="F10" s="83" t="inlineStr">
        <x:is>
          <x:t xml:space="preserve">Round 1</x:t>
        </x:is>
      </x:c>
      <x:c r="G10" s="83" t="inlineStr">
        <x:is>
          <x:t xml:space="preserve">Test date</x:t>
        </x:is>
      </x:c>
      <x:c r="H10" s="83" t="inlineStr">
        <x:is>
          <x:t xml:space="preserve">Tester</x:t>
        </x:is>
      </x:c>
      <x:c r="I10" s="83" t="inlineStr">
        <x:is>
          <x:t xml:space="preserve">Round 2</x:t>
        </x:is>
      </x:c>
      <x:c r="J10" s="83" t="inlineStr">
        <x:is>
          <x:t xml:space="preserve">Test date</x:t>
        </x:is>
      </x:c>
      <x:c r="K10" s="83" t="inlineStr">
        <x:is>
          <x:t xml:space="preserve">Tester</x:t>
        </x:is>
      </x:c>
      <x:c r="L10" s="83" t="inlineStr">
        <x:is>
          <x:t xml:space="preserve">Round 3</x:t>
        </x:is>
      </x:c>
      <x:c r="M10" s="83" t="inlineStr">
        <x:is>
          <x:t xml:space="preserve">Test date</x:t>
        </x:is>
      </x:c>
      <x:c r="N10" s="83" t="inlineStr">
        <x:is>
          <x:t xml:space="preserve">Tester</x:t>
        </x:is>
      </x:c>
      <x:c r="O10" s="83" t="inlineStr">
        <x:is>
          <x:t xml:space="preserve">Note</x:t>
        </x:is>
      </x:c>
      <x:c r="Q10" s="34"/>
    </x:row>
    <x:row r="11" s="30" customFormat="1" ht="18" customHeight="1">
      <x:c r="A11" s="79" t="inlineStr">
        <x:is>
          <x:t xml:space="preserve">Đặt lịch</x:t>
        </x:is>
      </x:c>
      <x:c r="Q11" s="38"/>
    </x:row>
    <x:row r="12" s="44" customFormat="1" ht="105" customHeight="1">
      <x:c r="A12" s="39" t="inlineStr">
        <x:is>
          <x:t xml:space="preserve">IT04-001</x:t>
        </x:is>
      </x:c>
      <x:c r="B12" s="39" t="inlineStr">
        <x:is>
          <x:t xml:space="preserve">Tạo lịch hợp lệ</x:t>
        </x:is>
      </x:c>
      <x:c r="C12" s="39" t="inlineStr">
        <x:is>
          <x:t xml:space="preserve">POST /api/v1/appointments với customerId, ngày mai, serviceIds hợp lệ.</x:t>
        </x:is>
      </x:c>
      <x:c r="D12" s="45" t="inlineStr">
        <x:is>
          <x:t xml:space="preserve">201; Appointment PENDING; gửi notification lễ tân.</x:t>
        </x:is>
      </x:c>
      <x:c r="E12" s="39" t="inlineStr">
        <x:is>
          <x:t xml:space="preserve">Customer/Profile/Service hợp lệ.</x:t>
        </x:is>
      </x:c>
      <x:c r="F12" s="39" t="inlineStr">
        <x:is>
          <x:t xml:space="preserve">Pending</x:t>
        </x:is>
      </x:c>
      <x:c r="I12" s="39" t="inlineStr">
        <x:is>
          <x:t xml:space="preserve">Pending</x:t>
        </x:is>
      </x:c>
      <x:c r="L12" s="39" t="inlineStr">
        <x:is>
          <x:t xml:space="preserve">Pending</x:t>
        </x:is>
      </x:c>
      <x:c r="O12" s="39" t="inlineStr">
        <x:is>
          <x:t xml:space="preserve">VP1,VP2,VP3,VP4</x:t>
        </x:is>
      </x:c>
      <x:c r="Q12" s="43"/>
    </x:row>
    <x:row r="13" ht="105" customHeight="1">
      <x:c r="A13" s="39" t="inlineStr">
        <x:is>
          <x:t xml:space="preserve">IT04-002</x:t>
        </x:is>
      </x:c>
      <x:c r="B13" s="39" t="inlineStr">
        <x:is>
          <x:t xml:space="preserve">Lịch ở quá khứ</x:t>
        </x:is>
      </x:c>
      <x:c r="C13" s="39" t="inlineStr">
        <x:is>
          <x:t xml:space="preserve">POST scheduledAt=hiện tại-1 phút.</x:t>
        </x:is>
      </x:c>
      <x:c r="D13" s="45" t="inlineStr">
        <x:is>
          <x:t xml:space="preserve">400; không tạo Appointment.</x:t>
        </x:is>
      </x:c>
      <x:c r="E13" s="39" t="inlineStr">
        <x:is>
          <x:t xml:space="preserve">Customer hợp lệ.</x:t>
        </x:is>
      </x:c>
      <x:c r="F13" s="39" t="inlineStr">
        <x:is>
          <x:t xml:space="preserve">Pending</x:t>
        </x:is>
      </x:c>
      <x:c r="I13" s="39" t="inlineStr">
        <x:is>
          <x:t xml:space="preserve">Pending</x:t>
        </x:is>
      </x:c>
      <x:c r="L13" s="39" t="inlineStr">
        <x:is>
          <x:t xml:space="preserve">Pending</x:t>
        </x:is>
      </x:c>
      <x:c r="O13" s="39" t="inlineStr">
        <x:is>
          <x:t xml:space="preserve">IP2,IB2</x:t>
        </x:is>
      </x:c>
      <x:c r="Q13" s="43"/>
    </x:row>
    <x:row r="14" ht="105" customHeight="1">
      <x:c r="A14" s="39" t="inlineStr">
        <x:is>
          <x:t xml:space="preserve">IT04-003</x:t>
        </x:is>
      </x:c>
      <x:c r="B14" s="39" t="inlineStr">
        <x:is>
          <x:t xml:space="preserve">Lịch xung đột</x:t>
        </x:is>
      </x:c>
      <x:c r="C14" s="39" t="inlineStr">
        <x:is>
          <x:t xml:space="preserve">Tạo lịch thứ hai cách lịch PENDING 20 phút.</x:t>
        </x:is>
      </x:c>
      <x:c r="D14" s="45" t="inlineStr">
        <x:is>
          <x:t xml:space="preserve">400; chỉ giữ lịch ban đầu.</x:t>
        </x:is>
      </x:c>
      <x:c r="E14" s="39" t="inlineStr">
        <x:is>
          <x:t xml:space="preserve">Có lịch PENDING.</x:t>
        </x:is>
      </x:c>
      <x:c r="F14" s="39" t="inlineStr">
        <x:is>
          <x:t xml:space="preserve">Pending</x:t>
        </x:is>
      </x:c>
      <x:c r="I14" s="39" t="inlineStr">
        <x:is>
          <x:t xml:space="preserve">Pending</x:t>
        </x:is>
      </x:c>
      <x:c r="L14" s="39" t="inlineStr">
        <x:is>
          <x:t xml:space="preserve">Pending</x:t>
        </x:is>
      </x:c>
      <x:c r="O14" s="39" t="inlineStr">
        <x:is>
          <x:t xml:space="preserve">IP3,IB3</x:t>
        </x:is>
      </x:c>
      <x:c r="Q14" s="43"/>
    </x:row>
    <x:row r="15" s="30" customFormat="1" ht="18" customHeight="1">
      <x:c r="A15" s="79" t="inlineStr">
        <x:is>
          <x:t xml:space="preserve">Check-in thành công</x:t>
        </x:is>
      </x:c>
      <x:c r="Q15" s="38"/>
    </x:row>
    <x:row r="16" ht="105" customHeight="1">
      <x:c r="A16" s="39" t="inlineStr">
        <x:is>
          <x:t xml:space="preserve">IT04-004</x:t>
        </x:is>
      </x:c>
      <x:c r="B16" s="39" t="inlineStr">
        <x:is>
          <x:t xml:space="preserve">Check-in thành công</x:t>
        </x:is>
      </x:c>
      <x:c r="C16" s="39" t="inlineStr">
        <x:is>
          <x:t xml:space="preserve">RECEPTIONIST POST /appointments/{id}/check-in.</x:t>
        </x:is>
      </x:c>
      <x:c r="D16" s="45" t="inlineStr">
        <x:is>
          <x:t xml:space="preserve">200; Appointment CHECKED_IN; tạo Visit CHECKED_IN + Invoice PENDING; chưa tạo queue trước thanh toán.</x:t>
        </x:is>
      </x:c>
      <x:c r="E16" s="39" t="inlineStr">
        <x:is>
          <x:t xml:space="preserve">Lịch PENDING hôm nay; không active visit.</x:t>
        </x:is>
      </x:c>
      <x:c r="F16" s="39" t="inlineStr">
        <x:is>
          <x:t xml:space="preserve">Pending</x:t>
        </x:is>
      </x:c>
      <x:c r="I16" s="39" t="inlineStr">
        <x:is>
          <x:t xml:space="preserve">Pending</x:t>
        </x:is>
      </x:c>
      <x:c r="L16" s="39" t="inlineStr">
        <x:is>
          <x:t xml:space="preserve">Pending</x:t>
        </x:is>
      </x:c>
      <x:c r="O16" s="39" t="inlineStr">
        <x:is>
          <x:t xml:space="preserve">VP5,VP6,VP7,VP8</x:t>
        </x:is>
      </x:c>
      <x:c r="Q16" s="43"/>
    </x:row>
    <x:row r="17" ht="18">
      <x:c r="A17" s="79" t="inlineStr">
        <x:is>
          <x:t xml:space="preserve">Check-in không hợp lệ</x:t>
        </x:is>
      </x:c>
    </x:row>
    <x:row r="18" ht="105" customHeight="1">
      <x:c r="A18" s="39" t="inlineStr">
        <x:is>
          <x:t xml:space="preserve">IT04-005</x:t>
        </x:is>
      </x:c>
      <x:c r="B18" s="39" t="inlineStr">
        <x:is>
          <x:t xml:space="preserve">Check-in trùng</x:t>
        </x:is>
      </x:c>
      <x:c r="C18" s="39" t="inlineStr">
        <x:is>
          <x:t xml:space="preserve">Gọi lại check-in cùng appointmentId.</x:t>
        </x:is>
      </x:c>
      <x:c r="D18" s="45" t="inlineStr">
        <x:is>
          <x:t xml:space="preserve">409; không tạo Visit/Invoice trùng.</x:t>
        </x:is>
      </x:c>
      <x:c r="E18" s="39" t="inlineStr">
        <x:is>
          <x:t xml:space="preserve">Appointment CHECKED_IN.</x:t>
        </x:is>
      </x:c>
      <x:c r="F18" s="39" t="inlineStr">
        <x:is>
          <x:t xml:space="preserve">Pending</x:t>
        </x:is>
      </x:c>
      <x:c r="I18" s="39" t="inlineStr">
        <x:is>
          <x:t xml:space="preserve">Pending</x:t>
        </x:is>
      </x:c>
      <x:c r="L18" s="39" t="inlineStr">
        <x:is>
          <x:t xml:space="preserve">Pending</x:t>
        </x:is>
      </x:c>
      <x:c r="O18" s="39" t="inlineStr">
        <x:is>
          <x:t xml:space="preserve">IP5</x:t>
        </x:is>
      </x:c>
    </x:row>
    <x:row r="19" s="44" customFormat="1" ht="105" customHeight="1">
      <x:c r="A19" s="39" t="inlineStr">
        <x:is>
          <x:t xml:space="preserve">IT04-006</x:t>
        </x:is>
      </x:c>
      <x:c r="B19" s="39" t="inlineStr">
        <x:is>
          <x:t xml:space="preserve">Đang có lượt khám</x:t>
        </x:is>
      </x:c>
      <x:c r="C19" s="39" t="inlineStr">
        <x:is>
          <x:t xml:space="preserve">Check-in lịch mới khi có Visit CHECKED_IN.</x:t>
        </x:is>
      </x:c>
      <x:c r="D19" s="45" t="inlineStr">
        <x:is>
          <x:t xml:space="preserve">409; lịch mới chưa CHECKED_IN.</x:t>
        </x:is>
      </x:c>
      <x:c r="E19" s="39" t="inlineStr">
        <x:is>
          <x:t xml:space="preserve">Có active Visit.</x:t>
        </x:is>
      </x:c>
      <x:c r="F19" s="39" t="inlineStr">
        <x:is>
          <x:t xml:space="preserve">Pending</x:t>
        </x:is>
      </x:c>
      <x:c r="I19" s="39" t="inlineStr">
        <x:is>
          <x:t xml:space="preserve">Pending</x:t>
        </x:is>
      </x:c>
      <x:c r="L19" s="39" t="inlineStr">
        <x:is>
          <x:t xml:space="preserve">Pending</x:t>
        </x:is>
      </x:c>
      <x:c r="O19" s="39" t="inlineStr">
        <x:is>
          <x:t xml:space="preserve">IP8</x:t>
        </x:is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bb88b4942c804719"/>
</x:worksheet>
</file>

<file path=xl/worksheets/sheet8.xml><?xml version="1.0" encoding="utf-8"?>
<x:worksheet xmlns:x="http://schemas.openxmlformats.org/spreadsheetml/2006/main">
  <x:sheetFormatPr defaultRowHeight="14.25"/>
  <x:cols>
    <x:col min="1" max="1" width="11.875" style="153" customWidth="1"/>
    <x:col min="2" max="2" width="33" style="153" customWidth="1"/>
    <x:col min="3" max="3" width="29.625" style="153" customWidth="1"/>
    <x:col min="4" max="16384" width="9" style="153" customWidth="0"/>
  </x:cols>
  <x:sheetData>
    <x:row r="1">
      <x:c r="A1" s="83" t="s">
        <x:v>38</x:v>
      </x:c>
      <x:c r="B1" s="83" t="s">
        <x:v>18</x:v>
      </x:c>
      <x:c r="C1" s="83" t="s">
        <x:v>39</x:v>
      </x:c>
    </x:row>
    <x:row r="2">
      <x:c r="A2" s="154" t="inlineStr">
        <x:is>
          <x:t xml:space="preserve">IT01-INVALID</x:t>
        </x:is>
      </x:c>
      <x:c r="B2" s="154" t="inlineStr">
        <x:is>
          <x:t xml:space="preserve">Dữ liệu Đăng ký và OTP không hợp lệ</x:t>
        </x:is>
      </x:c>
      <x:c r="C2" s="154" t="inlineStr">
        <x:is>
          <x:t xml:space="preserve">IT01</x:t>
        </x:is>
      </x:c>
    </x:row>
    <x:row r="3">
      <x:c r="A3" s="154" t="inlineStr">
        <x:is>
          <x:t xml:space="preserve">IT01-STATE</x:t>
        </x:is>
      </x:c>
      <x:c r="B3" s="154" t="inlineStr">
        <x:is>
          <x:t xml:space="preserve">Trạng thái Đăng ký và OTP không cho phép thao tác</x:t>
        </x:is>
      </x:c>
      <x:c r="C3" s="154" t="inlineStr">
        <x:is>
          <x:t xml:space="preserve">IT01</x:t>
        </x:is>
      </x:c>
    </x:row>
    <x:row r="4">
      <x:c r="A4" s="154" t="inlineStr">
        <x:is>
          <x:t xml:space="preserve">IT02-INVALID</x:t>
        </x:is>
      </x:c>
      <x:c r="B4" s="154" t="inlineStr">
        <x:is>
          <x:t xml:space="preserve">Dữ liệu Đăng nhập và token không hợp lệ</x:t>
        </x:is>
      </x:c>
      <x:c r="C4" s="154" t="inlineStr">
        <x:is>
          <x:t xml:space="preserve">IT02</x:t>
        </x:is>
      </x:c>
    </x:row>
    <x:row r="5">
      <x:c r="A5" s="154" t="inlineStr">
        <x:is>
          <x:t xml:space="preserve">IT02-STATE</x:t>
        </x:is>
      </x:c>
      <x:c r="B5" s="154" t="inlineStr">
        <x:is>
          <x:t xml:space="preserve">Trạng thái Đăng nhập và token không cho phép thao tác</x:t>
        </x:is>
      </x:c>
      <x:c r="C5" s="154" t="inlineStr">
        <x:is>
          <x:t xml:space="preserve">IT02</x:t>
        </x:is>
      </x:c>
    </x:row>
    <x:row r="6">
      <x:c r="A6" s="154" t="inlineStr">
        <x:is>
          <x:t xml:space="preserve">IT03-INVALID</x:t>
        </x:is>
      </x:c>
      <x:c r="B6" s="154" t="inlineStr">
        <x:is>
          <x:t xml:space="preserve">Dữ liệu Hồ sơ cá nhân không hợp lệ</x:t>
        </x:is>
      </x:c>
      <x:c r="C6" s="154" t="inlineStr">
        <x:is>
          <x:t xml:space="preserve">IT03</x:t>
        </x:is>
      </x:c>
    </x:row>
    <x:row r="7">
      <x:c r="A7" s="154" t="inlineStr">
        <x:is>
          <x:t xml:space="preserve">IT03-STATE</x:t>
        </x:is>
      </x:c>
      <x:c r="B7" s="154" t="inlineStr">
        <x:is>
          <x:t xml:space="preserve">Trạng thái Hồ sơ cá nhân không cho phép thao tác</x:t>
        </x:is>
      </x:c>
      <x:c r="C7" s="154" t="inlineStr">
        <x:is>
          <x:t xml:space="preserve">IT03</x:t>
        </x:is>
      </x:c>
    </x:row>
    <x:row r="8">
      <x:c r="A8" s="154" t="inlineStr">
        <x:is>
          <x:t xml:space="preserve">IT04-INVALID</x:t>
        </x:is>
      </x:c>
      <x:c r="B8" s="154" t="inlineStr">
        <x:is>
          <x:t xml:space="preserve">Dữ liệu Đặt lịch và check-in không hợp lệ</x:t>
        </x:is>
      </x:c>
      <x:c r="C8" s="154" t="inlineStr">
        <x:is>
          <x:t xml:space="preserve">IT04</x:t>
        </x:is>
      </x:c>
    </x:row>
    <x:row r="9">
      <x:c r="A9" s="154" t="inlineStr">
        <x:is>
          <x:t xml:space="preserve">IT04-STATE</x:t>
        </x:is>
      </x:c>
      <x:c r="B9" s="154" t="inlineStr">
        <x:is>
          <x:t xml:space="preserve">Trạng thái Đặt lịch và check-in không cho phép thao tác</x:t>
        </x:is>
      </x:c>
      <x:c r="C9" s="154" t="inlineStr">
        <x:is>
          <x:t xml:space="preserve">IT04</x:t>
        </x:is>
      </x:c>
    </x:row>
    <x:row r="10">
      <x:c r="A10" s="154" t="inlineStr">
        <x:is>
          <x:t xml:space="preserve">IT05-INVALID</x:t>
        </x:is>
      </x:c>
      <x:c r="B10" s="154" t="inlineStr">
        <x:is>
          <x:t xml:space="preserve">Dữ liệu Thanh toán và queue không hợp lệ</x:t>
        </x:is>
      </x:c>
      <x:c r="C10" s="154" t="inlineStr">
        <x:is>
          <x:t xml:space="preserve">IT05</x:t>
        </x:is>
      </x:c>
    </x:row>
    <x:row r="11">
      <x:c r="A11" s="154" t="inlineStr">
        <x:is>
          <x:t xml:space="preserve">IT05-STATE</x:t>
        </x:is>
      </x:c>
      <x:c r="B11" s="154" t="inlineStr">
        <x:is>
          <x:t xml:space="preserve">Trạng thái Thanh toán và queue không cho phép thao tác</x:t>
        </x:is>
      </x:c>
      <x:c r="C11" s="154" t="inlineStr">
        <x:is>
          <x:t xml:space="preserve">IT05</x:t>
        </x:is>
      </x:c>
    </x:row>
    <x:row r="12">
      <x:c r="A12" s="154" t="inlineStr">
        <x:is>
          <x:t xml:space="preserve">IT06-INVALID</x:t>
        </x:is>
      </x:c>
      <x:c r="B12" s="154" t="inlineStr">
        <x:is>
          <x:t xml:space="preserve">Dữ liệu Hàng đợi và bắt đầu khám không hợp lệ</x:t>
        </x:is>
      </x:c>
      <x:c r="C12" s="154" t="inlineStr">
        <x:is>
          <x:t xml:space="preserve">IT06</x:t>
        </x:is>
      </x:c>
    </x:row>
    <x:row r="13">
      <x:c r="A13" s="154" t="inlineStr">
        <x:is>
          <x:t xml:space="preserve">IT06-STATE</x:t>
        </x:is>
      </x:c>
      <x:c r="B13" s="154" t="inlineStr">
        <x:is>
          <x:t xml:space="preserve">Trạng thái Hàng đợi và bắt đầu khám không cho phép thao tác</x:t>
        </x:is>
      </x:c>
      <x:c r="C13" s="154" t="inlineStr">
        <x:is>
          <x:t xml:space="preserve">IT06</x:t>
        </x:is>
      </x:c>
    </x:row>
    <x:row r="14">
      <x:c r="A14" s="154" t="inlineStr">
        <x:is>
          <x:t xml:space="preserve">IT07-INVALID</x:t>
        </x:is>
      </x:c>
      <x:c r="B14" s="154" t="inlineStr">
        <x:is>
          <x:t xml:space="preserve">Dữ liệu Khám và kê đơn không hợp lệ</x:t>
        </x:is>
      </x:c>
      <x:c r="C14" s="154" t="inlineStr">
        <x:is>
          <x:t xml:space="preserve">IT07</x:t>
        </x:is>
      </x:c>
    </x:row>
    <x:row r="15">
      <x:c r="A15" s="154" t="inlineStr">
        <x:is>
          <x:t xml:space="preserve">IT07-STATE</x:t>
        </x:is>
      </x:c>
      <x:c r="B15" s="154" t="inlineStr">
        <x:is>
          <x:t xml:space="preserve">Trạng thái Khám và kê đơn không cho phép thao tác</x:t>
        </x:is>
      </x:c>
      <x:c r="C15" s="154" t="inlineStr">
        <x:is>
          <x:t xml:space="preserve">IT07</x:t>
        </x:is>
      </x:c>
    </x:row>
    <x:row r="16">
      <x:c r="A16" s="154" t="inlineStr">
        <x:is>
          <x:t xml:space="preserve">IT08-INVALID</x:t>
        </x:is>
      </x:c>
      <x:c r="B16" s="154" t="inlineStr">
        <x:is>
          <x:t xml:space="preserve">Dữ liệu Chỉ định CLS không hợp lệ</x:t>
        </x:is>
      </x:c>
      <x:c r="C16" s="154" t="inlineStr">
        <x:is>
          <x:t xml:space="preserve">IT08</x:t>
        </x:is>
      </x:c>
    </x:row>
    <x:row r="17">
      <x:c r="A17" s="154" t="inlineStr">
        <x:is>
          <x:t xml:space="preserve">IT08-STATE</x:t>
        </x:is>
      </x:c>
      <x:c r="B17" s="154" t="inlineStr">
        <x:is>
          <x:t xml:space="preserve">Trạng thái Chỉ định CLS không cho phép thao tác</x:t>
        </x:is>
      </x:c>
      <x:c r="C17" s="154" t="inlineStr">
        <x:is>
          <x:t xml:space="preserve">IT08</x:t>
        </x:is>
      </x:c>
    </x:row>
    <x:row r="18">
      <x:c r="A18" s="154" t="inlineStr">
        <x:is>
          <x:t xml:space="preserve">IT09-INVALID</x:t>
        </x:is>
      </x:c>
      <x:c r="B18" s="154" t="inlineStr">
        <x:is>
          <x:t xml:space="preserve">Dữ liệu Trả kết quả CLS không hợp lệ</x:t>
        </x:is>
      </x:c>
      <x:c r="C18" s="154" t="inlineStr">
        <x:is>
          <x:t xml:space="preserve">IT09</x:t>
        </x:is>
      </x:c>
    </x:row>
    <x:row r="19">
      <x:c r="A19" s="154" t="inlineStr">
        <x:is>
          <x:t xml:space="preserve">IT09-STATE</x:t>
        </x:is>
      </x:c>
      <x:c r="B19" s="154" t="inlineStr">
        <x:is>
          <x:t xml:space="preserve">Trạng thái Trả kết quả CLS không cho phép thao tác</x:t>
        </x:is>
      </x:c>
      <x:c r="C19" s="154" t="inlineStr">
        <x:is>
          <x:t xml:space="preserve">IT09</x:t>
        </x:is>
      </x:c>
    </x:row>
    <x:row r="20">
      <x:c r="A20" s="154" t="inlineStr">
        <x:is>
          <x:t xml:space="preserve">IT10-INVALID</x:t>
        </x:is>
      </x:c>
      <x:c r="B20" s="154" t="inlineStr">
        <x:is>
          <x:t xml:space="preserve">Dữ liệu Hoàn tất và tái khám không hợp lệ</x:t>
        </x:is>
      </x:c>
      <x:c r="C20" s="154" t="inlineStr">
        <x:is>
          <x:t xml:space="preserve">IT10</x:t>
        </x:is>
      </x:c>
    </x:row>
    <x:row r="21">
      <x:c r="A21" s="154" t="inlineStr">
        <x:is>
          <x:t xml:space="preserve">IT10-STATE</x:t>
        </x:is>
      </x:c>
      <x:c r="B21" s="154" t="inlineStr">
        <x:is>
          <x:t xml:space="preserve">Trạng thái Hoàn tất và tái khám không cho phép thao tác</x:t>
        </x:is>
      </x:c>
      <x:c r="C21" s="154" t="inlineStr">
        <x:is>
          <x:t xml:space="preserve">IT10</x:t>
        </x:is>
      </x:c>
    </x:row>
    <x:row r="22">
      <x:c r="A22" s="154" t="inlineStr">
        <x:is>
          <x:t xml:space="preserve">IT11-INVALID</x:t>
        </x:is>
      </x:c>
      <x:c r="B22" s="154" t="inlineStr">
        <x:is>
          <x:t xml:space="preserve">Dữ liệu BHXH và giao dịch không hợp lệ</x:t>
        </x:is>
      </x:c>
      <x:c r="C22" s="154" t="inlineStr">
        <x:is>
          <x:t xml:space="preserve">IT11</x:t>
        </x:is>
      </x:c>
    </x:row>
    <x:row r="23">
      <x:c r="A23" s="154" t="inlineStr">
        <x:is>
          <x:t xml:space="preserve">IT11-STATE</x:t>
        </x:is>
      </x:c>
      <x:c r="B23" s="154" t="inlineStr">
        <x:is>
          <x:t xml:space="preserve">Trạng thái BHXH và giao dịch không cho phép thao tác</x:t>
        </x:is>
      </x:c>
      <x:c r="C23" s="154" t="inlineStr">
        <x:is>
          <x:t xml:space="preserve">IT11</x:t>
        </x:is>
      </x:c>
    </x:row>
    <x:row r="24">
      <x:c r="A24" s="154" t="inlineStr">
        <x:is>
          <x:t xml:space="preserve">IT12-INVALID</x:t>
        </x:is>
      </x:c>
      <x:c r="B24" s="154" t="inlineStr">
        <x:is>
          <x:t xml:space="preserve">Dữ liệu Nhân sự và chấm công không hợp lệ</x:t>
        </x:is>
      </x:c>
      <x:c r="C24" s="154" t="inlineStr">
        <x:is>
          <x:t xml:space="preserve">IT12</x:t>
        </x:is>
      </x:c>
    </x:row>
    <x:row r="25">
      <x:c r="A25" s="154" t="inlineStr">
        <x:is>
          <x:t xml:space="preserve">IT12-STATE</x:t>
        </x:is>
      </x:c>
      <x:c r="B25" s="154" t="inlineStr">
        <x:is>
          <x:t xml:space="preserve">Trạng thái Nhân sự và chấm công không cho phép thao tác</x:t>
        </x:is>
      </x:c>
      <x:c r="C25" s="154" t="inlineStr">
        <x:is>
          <x:t xml:space="preserve">IT12</x:t>
        </x:is>
      </x:c>
    </x:row>
    <x:row r="26">
      <x:c r="A26" s="154" t="inlineStr">
        <x:is>
          <x:t xml:space="preserve">IT13-INVALID</x:t>
        </x:is>
      </x:c>
      <x:c r="B26" s="154" t="inlineStr">
        <x:is>
          <x:t xml:space="preserve">Dữ liệu Quản trị danh mục không hợp lệ</x:t>
        </x:is>
      </x:c>
      <x:c r="C26" s="154" t="inlineStr">
        <x:is>
          <x:t xml:space="preserve">IT13</x:t>
        </x:is>
      </x:c>
    </x:row>
    <x:row r="27">
      <x:c r="A27" s="154" t="inlineStr">
        <x:is>
          <x:t xml:space="preserve">IT13-STATE</x:t>
        </x:is>
      </x:c>
      <x:c r="B27" s="154" t="inlineStr">
        <x:is>
          <x:t xml:space="preserve">Trạng thái Quản trị danh mục không cho phép thao tác</x:t>
        </x:is>
      </x:c>
      <x:c r="C27" s="154" t="inlineStr">
        <x:is>
          <x:t xml:space="preserve">IT13</x:t>
        </x:is>
      </x:c>
    </x:row>
    <x:row r="28">
      <x:c r="A28" s="154" t="inlineStr">
        <x:is>
          <x:t xml:space="preserve">IT14-INVALID</x:t>
        </x:is>
      </x:c>
      <x:c r="B28" s="154" t="inlineStr">
        <x:is>
          <x:t xml:space="preserve">Dữ liệu Thông báo và chat không hợp lệ</x:t>
        </x:is>
      </x:c>
      <x:c r="C28" s="154" t="inlineStr">
        <x:is>
          <x:t xml:space="preserve">IT14</x:t>
        </x:is>
      </x:c>
    </x:row>
    <x:row r="29">
      <x:c r="A29" s="154" t="inlineStr">
        <x:is>
          <x:t xml:space="preserve">IT14-STATE</x:t>
        </x:is>
      </x:c>
      <x:c r="B29" s="154" t="inlineStr">
        <x:is>
          <x:t xml:space="preserve">Trạng thái Thông báo và chat không cho phép thao tác</x:t>
        </x:is>
      </x:c>
      <x:c r="C29" s="154" t="inlineStr">
        <x:is>
          <x:t xml:space="preserve">IT14</x:t>
        </x:is>
      </x:c>
    </x:row>
    <x:row r="30">
      <x:c r="A30" s="154" t="inlineStr">
        <x:is>
          <x:t xml:space="preserve">IT15-INVALID</x:t>
        </x:is>
      </x:c>
      <x:c r="B30" s="154" t="inlineStr">
        <x:is>
          <x:t xml:space="preserve">Dữ liệu Hành trình và báo cáo không hợp lệ</x:t>
        </x:is>
      </x:c>
      <x:c r="C30" s="154" t="inlineStr">
        <x:is>
          <x:t xml:space="preserve">IT15</x:t>
        </x:is>
      </x:c>
    </x:row>
    <x:row r="31">
      <x:c r="A31" s="154" t="inlineStr">
        <x:is>
          <x:t xml:space="preserve">IT15-STATE</x:t>
        </x:is>
      </x:c>
      <x:c r="B31" s="154" t="inlineStr">
        <x:is>
          <x:t xml:space="preserve">Trạng thái Hành trình và báo cáo không cho phép thao tác</x:t>
        </x:is>
      </x:c>
      <x:c r="C31" s="154" t="inlineStr">
        <x:is>
          <x:t xml:space="preserve">IT15</x:t>
        </x:is>
      </x:c>
    </x:row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inlineStr">
        <x:is>
          <x:t xml:space="preserve">Test Condition Analysis</x:t>
        </x:is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inlineStr">
        <x:is>
          <x:t xml:space="preserve">Condition</x:t>
        </x:is>
      </x:c>
      <x:c r="B2" s="83" t="inlineStr">
        <x:is>
          <x:t xml:space="preserve">Valid Partitions</x:t>
        </x:is>
      </x:c>
      <x:c r="C2" s="83" t="inlineStr">
        <x:is>
          <x:t xml:space="preserve">Tag</x:t>
        </x:is>
      </x:c>
      <x:c r="D2" s="83" t="inlineStr">
        <x:is>
          <x:t xml:space="preserve">Invalid Partitions</x:t>
        </x:is>
      </x:c>
      <x:c r="E2" s="83" t="inlineStr">
        <x:is>
          <x:t xml:space="preserve">Tag</x:t>
        </x:is>
      </x:c>
      <x:c r="F2" s="83" t="inlineStr">
        <x:is>
          <x:t xml:space="preserve">Valid Boundaries</x:t>
        </x:is>
      </x:c>
      <x:c r="G2" s="83" t="inlineStr">
        <x:is>
          <x:t xml:space="preserve">Tag</x:t>
        </x:is>
      </x:c>
      <x:c r="H2" s="83" t="inlineStr">
        <x:is>
          <x:t xml:space="preserve">Invalid Boundaries</x:t>
        </x:is>
      </x:c>
      <x:c r="I2" s="83" t="inlineStr">
        <x:is>
          <x:t xml:space="preserve">Tag</x:t>
        </x:is>
      </x:c>
    </x:row>
    <x:row r="3" ht="42" customHeight="1">
      <x:c r="A3" s="130" t="inlineStr">
        <x:is>
          <x:t xml:space="preserve">customerId</x:t>
        </x:is>
      </x:c>
      <x:c r="B3" s="129" t="inlineStr">
        <x:is>
          <x:t xml:space="preserve">Account CUSTOMER/STAFF có Profile</x:t>
        </x:is>
      </x:c>
      <x:c r="C3" s="129" t="inlineStr">
        <x:is>
          <x:t xml:space="preserve">VP1</x:t>
        </x:is>
      </x:c>
      <x:c r="D3" s="129" t="inlineStr">
        <x:is>
          <x:t xml:space="preserve">Không tồn tại/không Profile</x:t>
        </x:is>
      </x:c>
      <x:c r="E3" s="129" t="inlineStr">
        <x:is>
          <x:t xml:space="preserve">IP1</x:t>
        </x:is>
      </x:c>
      <x:c r="F3" s="129" t="inlineStr">
        <x:is>
          <x:t xml:space="preserve">N/A</x:t>
        </x:is>
      </x:c>
      <x:c r="G3" s="129" t="inlineStr">
        <x:is>
          <x:t xml:space="preserve">VB1</x:t>
        </x:is>
      </x:c>
      <x:c r="H3" s="129" t="inlineStr">
        <x:is>
          <x:t xml:space="preserve">Null</x:t>
        </x:is>
      </x:c>
      <x:c r="I3" s="129" t="inlineStr">
        <x:is>
          <x:t xml:space="preserve">IB1</x:t>
        </x:is>
      </x:c>
    </x:row>
    <x:row r="4" ht="42" customHeight="1">
      <x:c r="A4" s="130" t="inlineStr">
        <x:is>
          <x:t xml:space="preserve">scheduledAt</x:t>
        </x:is>
      </x:c>
      <x:c r="B4" s="129" t="inlineStr">
        <x:is>
          <x:t xml:space="preserve">Hiện tại hoặc tương lai</x:t>
        </x:is>
      </x:c>
      <x:c r="C4" s="129" t="inlineStr">
        <x:is>
          <x:t xml:space="preserve">VP2</x:t>
        </x:is>
      </x:c>
      <x:c r="D4" s="129" t="inlineStr">
        <x:is>
          <x:t xml:space="preserve">Quá khứ</x:t>
        </x:is>
      </x:c>
      <x:c r="E4" s="129" t="inlineStr">
        <x:is>
          <x:t xml:space="preserve">IP2</x:t>
        </x:is>
      </x:c>
      <x:c r="F4" s="129" t="inlineStr">
        <x:is>
          <x:t xml:space="preserve">Hiện tại</x:t>
        </x:is>
      </x:c>
      <x:c r="G4" s="129" t="inlineStr">
        <x:is>
          <x:t xml:space="preserve">VB2</x:t>
        </x:is>
      </x:c>
      <x:c r="H4" s="129" t="inlineStr">
        <x:is>
          <x:t xml:space="preserve">Hiện tại - 1 phút</x:t>
        </x:is>
      </x:c>
      <x:c r="I4" s="129" t="inlineStr">
        <x:is>
          <x:t xml:space="preserve">IB2</x:t>
        </x:is>
      </x:c>
    </x:row>
    <x:row r="5" ht="42" customHeight="1">
      <x:c r="A5" s="130" t="inlineStr">
        <x:is>
          <x:t xml:space="preserve">appointment conflict</x:t>
        </x:is>
      </x:c>
      <x:c r="B5" s="129" t="inlineStr">
        <x:is>
          <x:t xml:space="preserve">Không có PENDING gần thời gian</x:t>
        </x:is>
      </x:c>
      <x:c r="C5" s="129" t="inlineStr">
        <x:is>
          <x:t xml:space="preserve">VP3</x:t>
        </x:is>
      </x:c>
      <x:c r="D5" s="129" t="inlineStr">
        <x:is>
          <x:t xml:space="preserve">Có PENDING trong ±30 phút</x:t>
        </x:is>
      </x:c>
      <x:c r="E5" s="129" t="inlineStr">
        <x:is>
          <x:t xml:space="preserve">IP3</x:t>
        </x:is>
      </x:c>
      <x:c r="F5" s="129" t="inlineStr">
        <x:is>
          <x:t xml:space="preserve">Ngoài 30 phút</x:t>
        </x:is>
      </x:c>
      <x:c r="G5" s="129" t="inlineStr">
        <x:is>
          <x:t xml:space="preserve">VB3</x:t>
        </x:is>
      </x:c>
      <x:c r="H5" s="129" t="inlineStr">
        <x:is>
          <x:t xml:space="preserve">Trong 30 phút</x:t>
        </x:is>
      </x:c>
      <x:c r="I5" s="129" t="inlineStr">
        <x:is>
          <x:t xml:space="preserve">IB3</x:t>
        </x:is>
      </x:c>
    </x:row>
    <x:row r="6" ht="42" customHeight="1">
      <x:c r="A6" s="130" t="inlineStr">
        <x:is>
          <x:t xml:space="preserve">serviceIds</x:t>
        </x:is>
      </x:c>
      <x:c r="B6" s="129" t="inlineStr">
        <x:is>
          <x:t xml:space="preserve">Tồn tại, phù hợp tuổi/giới</x:t>
        </x:is>
      </x:c>
      <x:c r="C6" s="129" t="inlineStr">
        <x:is>
          <x:t xml:space="preserve">VP4</x:t>
        </x:is>
      </x:c>
      <x:c r="D6" s="129" t="inlineStr">
        <x:is>
          <x:t xml:space="preserve">Không tồn tại/không phù hợp</x:t>
        </x:is>
      </x:c>
      <x:c r="E6" s="129" t="inlineStr">
        <x:is>
          <x:t xml:space="preserve">IP4</x:t>
        </x:is>
      </x:c>
      <x:c r="F6" s="129" t="inlineStr">
        <x:is>
          <x:t xml:space="preserve">Tuổi min/max</x:t>
        </x:is>
      </x:c>
      <x:c r="G6" s="129" t="inlineStr">
        <x:is>
          <x:t xml:space="preserve">VB4</x:t>
        </x:is>
      </x:c>
      <x:c r="H6" s="129" t="inlineStr">
        <x:is>
          <x:t xml:space="preserve">min-1/max+1</x:t>
        </x:is>
      </x:c>
      <x:c r="I6" s="129" t="inlineStr">
        <x:is>
          <x:t xml:space="preserve">IB4</x:t>
        </x:is>
      </x:c>
    </x:row>
    <x:row r="7" ht="42" customHeight="1">
      <x:c r="A7" s="130" t="inlineStr">
        <x:is>
          <x:t xml:space="preserve">check-in status</x:t>
        </x:is>
      </x:c>
      <x:c r="B7" s="129" t="inlineStr">
        <x:is>
          <x:t xml:space="preserve">PENDING</x:t>
        </x:is>
      </x:c>
      <x:c r="C7" s="129" t="inlineStr">
        <x:is>
          <x:t xml:space="preserve">VP5</x:t>
        </x:is>
      </x:c>
      <x:c r="D7" s="129" t="inlineStr">
        <x:is>
          <x:t xml:space="preserve">CHECKED_IN/CANCELLED</x:t>
        </x:is>
      </x:c>
      <x:c r="E7" s="129" t="inlineStr">
        <x:is>
          <x:t xml:space="preserve">IP5</x:t>
        </x:is>
      </x:c>
      <x:c r="F7" s="129" t="inlineStr">
        <x:is>
          <x:t xml:space="preserve">N/A</x:t>
        </x:is>
      </x:c>
      <x:c r="G7" s="129" t="inlineStr">
        <x:is>
          <x:t xml:space="preserve">VB5</x:t>
        </x:is>
      </x:c>
      <x:c r="H7" s="129" t="inlineStr">
        <x:is>
          <x:t xml:space="preserve">N/A</x:t>
        </x:is>
      </x:c>
      <x:c r="I7" s="129" t="inlineStr">
        <x:is>
          <x:t xml:space="preserve">IB5</x:t>
        </x:is>
      </x:c>
    </x:row>
    <x:row r="8" ht="42" customHeight="1">
      <x:c r="A8" s="130" t="inlineStr">
        <x:is>
          <x:t xml:space="preserve">check-in date</x:t>
        </x:is>
      </x:c>
      <x:c r="B8" s="129" t="inlineStr">
        <x:is>
          <x:t xml:space="preserve">Đúng ngày hôm nay</x:t>
        </x:is>
      </x:c>
      <x:c r="C8" s="129" t="inlineStr">
        <x:is>
          <x:t xml:space="preserve">VP6</x:t>
        </x:is>
      </x:c>
      <x:c r="D8" s="129" t="inlineStr">
        <x:is>
          <x:t xml:space="preserve">Khác hôm nay</x:t>
        </x:is>
      </x:c>
      <x:c r="E8" s="129" t="inlineStr">
        <x:is>
          <x:t xml:space="preserve">IP6</x:t>
        </x:is>
      </x:c>
      <x:c r="F8" s="129" t="inlineStr">
        <x:is>
          <x:t xml:space="preserve">00:00/23:59</x:t>
        </x:is>
      </x:c>
      <x:c r="G8" s="129" t="inlineStr">
        <x:is>
          <x:t xml:space="preserve">VB6</x:t>
        </x:is>
      </x:c>
      <x:c r="H8" s="129" t="inlineStr">
        <x:is>
          <x:t xml:space="preserve">Ngày trước/sau</x:t>
        </x:is>
      </x:c>
      <x:c r="I8" s="129" t="inlineStr">
        <x:is>
          <x:t xml:space="preserve">IB6</x:t>
        </x:is>
      </x:c>
      <x:c r="K8" s="179" t="s">
        <x:v>36</x:v>
      </x:c>
      <x:c r="L8" s="179" t="s">
        <x:v>37</x:v>
      </x:c>
    </x:row>
    <x:row r="9" ht="42" customHeight="1">
      <x:c r="A9" s="130" t="inlineStr">
        <x:is>
          <x:t xml:space="preserve">issuedById</x:t>
        </x:is>
      </x:c>
      <x:c r="B9" s="129" t="inlineStr">
        <x:is>
          <x:t xml:space="preserve">Nhân viên tồn tại</x:t>
        </x:is>
      </x:c>
      <x:c r="C9" s="129" t="inlineStr">
        <x:is>
          <x:t xml:space="preserve">VP7</x:t>
        </x:is>
      </x:c>
      <x:c r="D9" s="129" t="inlineStr">
        <x:is>
          <x:t xml:space="preserve">Null/không tồn tại</x:t>
        </x:is>
      </x:c>
      <x:c r="E9" s="129" t="inlineStr">
        <x:is>
          <x:t xml:space="preserve">IP7</x:t>
        </x:is>
      </x:c>
      <x:c r="F9" s="129" t="inlineStr">
        <x:is>
          <x:t xml:space="preserve">N/A</x:t>
        </x:is>
      </x:c>
      <x:c r="G9" s="129" t="inlineStr">
        <x:is>
          <x:t xml:space="preserve">VB7</x:t>
        </x:is>
      </x:c>
      <x:c r="H9" s="129" t="inlineStr">
        <x:is>
          <x:t xml:space="preserve">Null</x:t>
        </x:is>
      </x:c>
      <x:c r="I9" s="129" t="inlineStr">
        <x:is>
          <x:t xml:space="preserve">IB7</x:t>
        </x:is>
      </x:c>
    </x:row>
    <x:row r="10" ht="42" customHeight="1">
      <x:c r="A10" s="130" t="inlineStr">
        <x:is>
          <x:t xml:space="preserve">active visit</x:t>
        </x:is>
      </x:c>
      <x:c r="B10" s="129" t="inlineStr">
        <x:is>
          <x:t xml:space="preserve">Không có Visit hoạt động</x:t>
        </x:is>
      </x:c>
      <x:c r="C10" s="129" t="inlineStr">
        <x:is>
          <x:t xml:space="preserve">VP8</x:t>
        </x:is>
      </x:c>
      <x:c r="D10" s="129" t="inlineStr">
        <x:is>
          <x:t xml:space="preserve">Có CHECKED_IN/IN_PROGRESS</x:t>
        </x:is>
      </x:c>
      <x:c r="E10" s="129" t="inlineStr">
        <x:is>
          <x:t xml:space="preserve">IP8</x:t>
        </x:is>
      </x:c>
      <x:c r="F10" s="129" t="inlineStr">
        <x:is>
          <x:t xml:space="preserve">N/A</x:t>
        </x:is>
      </x:c>
      <x:c r="G10" s="129" t="inlineStr">
        <x:is>
          <x:t xml:space="preserve">VB8</x:t>
        </x:is>
      </x:c>
      <x:c r="H10" s="129" t="inlineStr">
        <x:is>
          <x:t xml:space="preserve">N/A</x:t>
        </x:is>
      </x:c>
      <x:c r="I10" s="129" t="inlineStr">
        <x:is>
          <x:t xml:space="preserve">IB8</x:t>
        </x:is>
      </x:c>
    </x:row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inlineStr">
        <x:is>
          <x:t xml:space="preserve">* Notes:</x:t>
        </x:is>
      </x:c>
      <x:c r="B27" s="141" t="inlineStr">
        <x:is>
          <x:t xml:space="preserve">Đối chiếu tag VP/IP/VB/IB với Test Design.</x:t>
        </x:is>
      </x:c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inlineStr">
        <x:is>
          <x:t xml:space="preserve">Test case design</x:t>
        </x:is>
      </x:c>
      <x:c r="B1" s="172"/>
      <x:c r="C1" s="172"/>
      <x:c r="D1" s="172"/>
    </x:row>
    <x:row r="2" ht="25.5">
      <x:c r="A2" s="83" t="inlineStr">
        <x:is>
          <x:t xml:space="preserve">Test-case No</x:t>
        </x:is>
      </x:c>
      <x:c r="B2" s="83" t="inlineStr">
        <x:is>
          <x:t xml:space="preserve">Description</x:t>
        </x:is>
      </x:c>
      <x:c r="C2" s="83" t="inlineStr">
        <x:is>
          <x:t xml:space="preserve">Expected result</x:t>
        </x:is>
      </x:c>
      <x:c r="D2" s="83" t="inlineStr">
        <x:is>
          <x:t xml:space="preserve">TAG</x:t>
        </x:is>
      </x:c>
    </x:row>
    <x:row r="3" ht="82" customHeight="1">
      <x:c r="A3" s="152">
        <x:v>1</x:v>
      </x:c>
      <x:c r="B3" s="151" t="inlineStr">
        <x:is>
          <x:t xml:space="preserve">Tạo lịch hợp lệ, không xung đột.</x:t>
        </x:is>
      </x:c>
      <x:c r="C3" s="151" t="inlineStr">
        <x:is>
          <x:t xml:space="preserve">201; Appointment PENDING; notification lễ tân.</x:t>
        </x:is>
      </x:c>
      <x:c r="D3" s="151" t="inlineStr">
        <x:is>
          <x:t xml:space="preserve">VP1,VP2,VP3,VP4</x:t>
        </x:is>
      </x:c>
    </x:row>
    <x:row r="4" ht="82" customHeight="1">
      <x:c r="A4" s="152">
        <x:v>2</x:v>
      </x:c>
      <x:c r="B4" s="151" t="inlineStr">
        <x:is>
          <x:t xml:space="preserve">scheduledAt ở quá khứ.</x:t>
        </x:is>
      </x:c>
      <x:c r="C4" s="151" t="inlineStr">
        <x:is>
          <x:t xml:space="preserve">400; không tạo Appointment.</x:t>
        </x:is>
      </x:c>
      <x:c r="D4" s="151" t="inlineStr">
        <x:is>
          <x:t xml:space="preserve">IP2,IB2</x:t>
        </x:is>
      </x:c>
    </x:row>
    <x:row r="5" ht="82" customHeight="1">
      <x:c r="A5" s="152">
        <x:v>3</x:v>
      </x:c>
      <x:c r="B5" s="151" t="inlineStr">
        <x:is>
          <x:t xml:space="preserve">Lịch thứ hai trong ±30 phút.</x:t>
        </x:is>
      </x:c>
      <x:c r="C5" s="151" t="inlineStr">
        <x:is>
          <x:t xml:space="preserve">400; chỉ giữ lịch đầu.</x:t>
        </x:is>
      </x:c>
      <x:c r="D5" s="151" t="inlineStr">
        <x:is>
          <x:t xml:space="preserve">IP3,IB3</x:t>
        </x:is>
      </x:c>
    </x:row>
    <x:row r="6" ht="82" customHeight="1">
      <x:c r="A6" s="152">
        <x:v>4</x:v>
      </x:c>
      <x:c r="B6" s="151" t="inlineStr">
        <x:is>
          <x:t xml:space="preserve">Check-in PENDING đúng ngày.</x:t>
        </x:is>
      </x:c>
      <x:c r="C6" s="151" t="inlineStr">
        <x:is>
          <x:t xml:space="preserve">200; Appointment CHECKED_IN; tạo Visit và Invoice PENDING; queue sau thanh toán.</x:t>
        </x:is>
      </x:c>
      <x:c r="D6" s="151" t="inlineStr">
        <x:is>
          <x:t xml:space="preserve">VP5,VP6,VP7,VP8</x:t>
        </x:is>
      </x:c>
    </x:row>
    <x:row r="7" ht="82" customHeight="1">
      <x:c r="A7" s="152">
        <x:v>5</x:v>
      </x:c>
      <x:c r="B7" s="151" t="inlineStr">
        <x:is>
          <x:t xml:space="preserve">Check-in lại lịch đã CHECKED_IN.</x:t>
        </x:is>
      </x:c>
      <x:c r="C7" s="151" t="inlineStr">
        <x:is>
          <x:t xml:space="preserve">409; không tạo Visit/Invoice trùng.</x:t>
        </x:is>
      </x:c>
      <x:c r="D7" s="151" t="inlineStr">
        <x:is>
          <x:t xml:space="preserve">IP5</x:t>
        </x:is>
      </x:c>
    </x:row>
    <x:row r="8" ht="82" customHeight="1">
      <x:c r="A8" s="152">
        <x:v>6</x:v>
      </x:c>
      <x:c r="B8" s="151" t="inlineStr">
        <x:is>
          <x:t xml:space="preserve">Check-in khi có Visit hoạt động.</x:t>
        </x:is>
      </x:c>
      <x:c r="C8" s="151" t="inlineStr">
        <x:is>
          <x:t xml:space="preserve">409; giữ nguyên dữ liệu hiện tại.</x:t>
        </x:is>
      </x:c>
      <x:c r="D8" s="151" t="inlineStr">
        <x:is>
          <x:t xml:space="preserve">IP8</x:t>
        </x:is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inlineStr">
        <x:is>
          <x:t xml:space="preserve">Test Condition Analysis</x:t>
        </x:is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inlineStr">
        <x:is>
          <x:t xml:space="preserve">Condition</x:t>
        </x:is>
      </x:c>
      <x:c r="B2" s="83" t="inlineStr">
        <x:is>
          <x:t xml:space="preserve">Valid Partitions</x:t>
        </x:is>
      </x:c>
      <x:c r="C2" s="83" t="inlineStr">
        <x:is>
          <x:t xml:space="preserve">Tag</x:t>
        </x:is>
      </x:c>
      <x:c r="D2" s="83" t="inlineStr">
        <x:is>
          <x:t xml:space="preserve">Invalid Partitions</x:t>
        </x:is>
      </x:c>
      <x:c r="E2" s="83" t="inlineStr">
        <x:is>
          <x:t xml:space="preserve">Tag</x:t>
        </x:is>
      </x:c>
      <x:c r="F2" s="83" t="inlineStr">
        <x:is>
          <x:t xml:space="preserve">Valid Boundaries</x:t>
        </x:is>
      </x:c>
      <x:c r="G2" s="83" t="inlineStr">
        <x:is>
          <x:t xml:space="preserve">Tag</x:t>
        </x:is>
      </x:c>
      <x:c r="H2" s="83" t="inlineStr">
        <x:is>
          <x:t xml:space="preserve">Invalid Boundaries</x:t>
        </x:is>
      </x:c>
      <x:c r="I2" s="83" t="inlineStr">
        <x:is>
          <x:t xml:space="preserve">Tag</x:t>
        </x:is>
      </x:c>
    </x:row>
    <x:row r="3" ht="42" customHeight="1">
      <x:c r="A3" s="130" t="inlineStr">
        <x:is>
          <x:t xml:space="preserve">medicalRecordId</x:t>
        </x:is>
      </x:c>
      <x:c r="B3" s="129" t="inlineStr">
        <x:is>
          <x:t xml:space="preserve">Tồn tại và gắn Visit</x:t>
        </x:is>
      </x:c>
      <x:c r="C3" s="129" t="inlineStr">
        <x:is>
          <x:t xml:space="preserve">VP1</x:t>
        </x:is>
      </x:c>
      <x:c r="D3" s="129" t="inlineStr">
        <x:is>
          <x:t xml:space="preserve">Không tồn tại/không Visit</x:t>
        </x:is>
      </x:c>
      <x:c r="E3" s="129" t="inlineStr">
        <x:is>
          <x:t xml:space="preserve">IP1</x:t>
        </x:is>
      </x:c>
      <x:c r="F3" s="129" t="inlineStr">
        <x:is>
          <x:t xml:space="preserve">N/A</x:t>
        </x:is>
      </x:c>
      <x:c r="G3" s="129" t="inlineStr">
        <x:is>
          <x:t xml:space="preserve">VB1</x:t>
        </x:is>
      </x:c>
      <x:c r="H3" s="129" t="inlineStr">
        <x:is>
          <x:t xml:space="preserve">Null</x:t>
        </x:is>
      </x:c>
      <x:c r="I3" s="129" t="inlineStr">
        <x:is>
          <x:t xml:space="preserve">IB1</x:t>
        </x:is>
      </x:c>
    </x:row>
    <x:row r="4" ht="42" customHeight="1">
      <x:c r="A4" s="130" t="inlineStr">
        <x:is>
          <x:t xml:space="preserve">serviceIds</x:t>
        </x:is>
      </x:c>
      <x:c r="B4" s="129" t="inlineStr">
        <x:is>
          <x:t xml:space="preserve">Tồn tại, có khoa/capability</x:t>
        </x:is>
      </x:c>
      <x:c r="C4" s="129" t="inlineStr">
        <x:is>
          <x:t xml:space="preserve">VP2</x:t>
        </x:is>
      </x:c>
      <x:c r="D4" s="129" t="inlineStr">
        <x:is>
          <x:t xml:space="preserve">Rỗng/không có khoa phù hợp</x:t>
        </x:is>
      </x:c>
      <x:c r="E4" s="129" t="inlineStr">
        <x:is>
          <x:t xml:space="preserve">IP2</x:t>
        </x:is>
      </x:c>
      <x:c r="F4" s="129" t="inlineStr">
        <x:is>
          <x:t xml:space="preserve">1 phần tử</x:t>
        </x:is>
      </x:c>
      <x:c r="G4" s="129" t="inlineStr">
        <x:is>
          <x:t xml:space="preserve">VB2</x:t>
        </x:is>
      </x:c>
      <x:c r="H4" s="129" t="inlineStr">
        <x:is>
          <x:t xml:space="preserve">0 phần tử</x:t>
        </x:is>
      </x:c>
      <x:c r="I4" s="129" t="inlineStr">
        <x:is>
          <x:t xml:space="preserve">IB2</x:t>
        </x:is>
      </x:c>
    </x:row>
    <x:row r="5" ht="42" customHeight="1">
      <x:c r="A5" s="130" t="inlineStr">
        <x:is>
          <x:t xml:space="preserve">duplicate request</x:t>
        </x:is>
      </x:c>
      <x:c r="B5" s="129" t="inlineStr">
        <x:is>
          <x:t xml:space="preserve">Chưa có cùng service trong Visit</x:t>
        </x:is>
      </x:c>
      <x:c r="C5" s="129" t="inlineStr">
        <x:is>
          <x:t xml:space="preserve">VP3</x:t>
        </x:is>
      </x:c>
      <x:c r="D5" s="129" t="inlineStr">
        <x:is>
          <x:t xml:space="preserve">Đã có request chưa CANCELLED</x:t>
        </x:is>
      </x:c>
      <x:c r="E5" s="129" t="inlineStr">
        <x:is>
          <x:t xml:space="preserve">IP3</x:t>
        </x:is>
      </x:c>
      <x:c r="F5" s="129" t="inlineStr">
        <x:is>
          <x:t xml:space="preserve">N/A</x:t>
        </x:is>
      </x:c>
      <x:c r="G5" s="129" t="inlineStr">
        <x:is>
          <x:t xml:space="preserve">VB3</x:t>
        </x:is>
      </x:c>
      <x:c r="H5" s="129" t="inlineStr">
        <x:is>
          <x:t xml:space="preserve">N/A</x:t>
        </x:is>
      </x:c>
      <x:c r="I5" s="129" t="inlineStr">
        <x:is>
          <x:t xml:space="preserve">IB3</x:t>
        </x:is>
      </x:c>
    </x:row>
    <x:row r="6" ht="42" customHeight="1">
      <x:c r="A6" s="130" t="inlineStr">
        <x:is>
          <x:t xml:space="preserve">request status</x:t>
        </x:is>
      </x:c>
      <x:c r="B6" s="129" t="inlineStr">
        <x:is>
          <x:t xml:space="preserve">PENDING/IN_PROGRESS</x:t>
        </x:is>
      </x:c>
      <x:c r="C6" s="129" t="inlineStr">
        <x:is>
          <x:t xml:space="preserve">VP4</x:t>
        </x:is>
      </x:c>
      <x:c r="D6" s="129" t="inlineStr">
        <x:is>
          <x:t xml:space="preserve">COMPLETED/CANCELLED</x:t>
        </x:is>
      </x:c>
      <x:c r="E6" s="129" t="inlineStr">
        <x:is>
          <x:t xml:space="preserve">IP4</x:t>
        </x:is>
      </x:c>
      <x:c r="F6" s="129" t="inlineStr">
        <x:is>
          <x:t xml:space="preserve">N/A</x:t>
        </x:is>
      </x:c>
      <x:c r="G6" s="129" t="inlineStr">
        <x:is>
          <x:t xml:space="preserve">VB4</x:t>
        </x:is>
      </x:c>
      <x:c r="H6" s="129" t="inlineStr">
        <x:is>
          <x:t xml:space="preserve">N/A</x:t>
        </x:is>
      </x:c>
      <x:c r="I6" s="129" t="inlineStr">
        <x:is>
          <x:t xml:space="preserve">IB4</x:t>
        </x:is>
      </x:c>
    </x:row>
    <x:row r="7" ht="42" customHeight="1">
      <x:c r="A7" s="130" t="inlineStr">
        <x:is>
          <x:t xml:space="preserve">execution queue</x:t>
        </x:is>
      </x:c>
      <x:c r="B7" s="129" t="inlineStr">
        <x:is>
          <x:t xml:space="preserve">IN_PROGRESS hoặc DONE</x:t>
        </x:is>
      </x:c>
      <x:c r="C7" s="129" t="inlineStr">
        <x:is>
          <x:t xml:space="preserve">VP5</x:t>
        </x:is>
      </x:c>
      <x:c r="D7" s="129" t="inlineStr">
        <x:is>
          <x:t xml:space="preserve">Null/WAITING/BLOCKED</x:t>
        </x:is>
      </x:c>
      <x:c r="E7" s="129" t="inlineStr">
        <x:is>
          <x:t xml:space="preserve">IP5</x:t>
        </x:is>
      </x:c>
      <x:c r="F7" s="129" t="inlineStr">
        <x:is>
          <x:t xml:space="preserve">N/A</x:t>
        </x:is>
      </x:c>
      <x:c r="G7" s="129" t="inlineStr">
        <x:is>
          <x:t xml:space="preserve">VB5</x:t>
        </x:is>
      </x:c>
      <x:c r="H7" s="129" t="inlineStr">
        <x:is>
          <x:t xml:space="preserve">N/A</x:t>
        </x:is>
      </x:c>
      <x:c r="I7" s="129" t="inlineStr">
        <x:is>
          <x:t xml:space="preserve">IB5</x:t>
        </x:is>
      </x:c>
    </x:row>
    <x:row r="8" ht="42" customHeight="1">
      <x:c r="A8" s="130" t="inlineStr">
        <x:is>
          <x:t xml:space="preserve">result PDF</x:t>
        </x:is>
      </x:c>
      <x:c r="B8" s="129" t="inlineStr">
        <x:is>
          <x:t xml:space="preserve">.pdf hợp lệ &lt;=10MB</x:t>
        </x:is>
      </x:c>
      <x:c r="C8" s="129" t="inlineStr">
        <x:is>
          <x:t xml:space="preserve">VP6</x:t>
        </x:is>
      </x:c>
      <x:c r="D8" s="129" t="inlineStr">
        <x:is>
          <x:t xml:space="preserve">Rỗng/sai loại/&gt;10MB</x:t>
        </x:is>
      </x:c>
      <x:c r="E8" s="129" t="inlineStr">
        <x:is>
          <x:t xml:space="preserve">IP6</x:t>
        </x:is>
      </x:c>
      <x:c r="F8" s="129" t="inlineStr">
        <x:is>
          <x:t xml:space="preserve">10MB</x:t>
        </x:is>
      </x:c>
      <x:c r="G8" s="129" t="inlineStr">
        <x:is>
          <x:t xml:space="preserve">VB6</x:t>
        </x:is>
      </x:c>
      <x:c r="H8" s="129" t="inlineStr">
        <x:is>
          <x:t xml:space="preserve">10MB+1 byte</x:t>
        </x:is>
      </x:c>
      <x:c r="I8" s="129" t="inlineStr">
        <x:is>
          <x:t xml:space="preserve">IB6</x:t>
        </x:is>
      </x:c>
      <x:c r="K8" s="179" t="s">
        <x:v>36</x:v>
      </x:c>
      <x:c r="L8" s="179" t="s">
        <x:v>37</x:v>
      </x:c>
    </x:row>
    <x:row r="9" ht="42" customHeight="1">
      <x:c r="A9" s="130" t="inlineStr">
        <x:is>
          <x:t xml:space="preserve">conclusion</x:t>
        </x:is>
      </x:c>
      <x:c r="B9" s="129" t="inlineStr">
        <x:is>
          <x:t xml:space="preserve">Không rỗng</x:t>
        </x:is>
      </x:c>
      <x:c r="C9" s="129" t="inlineStr">
        <x:is>
          <x:t xml:space="preserve">VP7</x:t>
        </x:is>
      </x:c>
      <x:c r="D9" s="129" t="inlineStr">
        <x:is>
          <x:t xml:space="preserve">Null/rỗng</x:t>
        </x:is>
      </x:c>
      <x:c r="E9" s="129" t="inlineStr">
        <x:is>
          <x:t xml:space="preserve">IP7</x:t>
        </x:is>
      </x:c>
      <x:c r="F9" s="129" t="inlineStr">
        <x:is>
          <x:t xml:space="preserve">1 ký tự</x:t>
        </x:is>
      </x:c>
      <x:c r="G9" s="129" t="inlineStr">
        <x:is>
          <x:t xml:space="preserve">VB7</x:t>
        </x:is>
      </x:c>
      <x:c r="H9" s="129" t="inlineStr">
        <x:is>
          <x:t xml:space="preserve">0 ký tự</x:t>
        </x:is>
      </x:c>
      <x:c r="I9" s="129" t="inlineStr">
        <x:is>
          <x:t xml:space="preserve">IB7</x:t>
        </x:is>
      </x:c>
    </x:row>
    <x:row r="10" ht="42" customHeight="1">
      <x:c r="A10" s="130" t="inlineStr">
        <x:is>
          <x:t xml:space="preserve">verifiedBy</x:t>
        </x:is>
      </x:c>
      <x:c r="B10" s="129" t="inlineStr">
        <x:is>
          <x:t xml:space="preserve">Head doctor khoa thực hiện</x:t>
        </x:is>
      </x:c>
      <x:c r="C10" s="129" t="inlineStr">
        <x:is>
          <x:t xml:space="preserve">VP8</x:t>
        </x:is>
      </x:c>
      <x:c r="D10" s="129" t="inlineStr">
        <x:is>
          <x:t xml:space="preserve">Không đúng bác sĩ/khoa</x:t>
        </x:is>
      </x:c>
      <x:c r="E10" s="129" t="inlineStr">
        <x:is>
          <x:t xml:space="preserve">IP8</x:t>
        </x:is>
      </x:c>
      <x:c r="F10" s="129" t="inlineStr">
        <x:is>
          <x:t xml:space="preserve">N/A</x:t>
        </x:is>
      </x:c>
      <x:c r="G10" s="129" t="inlineStr">
        <x:is>
          <x:t xml:space="preserve">VB8</x:t>
        </x:is>
      </x:c>
      <x:c r="H10" s="129" t="inlineStr">
        <x:is>
          <x:t xml:space="preserve">Null</x:t>
        </x:is>
      </x:c>
      <x:c r="I10" s="129" t="inlineStr">
        <x:is>
          <x:t xml:space="preserve">IB8</x:t>
        </x:is>
      </x:c>
    </x:row>
    <x:row r="11" ht="42" customHeight="1">
      <x:c r="A11" s="130" t="inlineStr">
        <x:is>
          <x:t xml:space="preserve">sampleStatus</x:t>
        </x:is>
      </x:c>
      <x:c r="B11" s="129" t="inlineStr">
        <x:is>
          <x:t xml:space="preserve">Không REJECTED/RECOLLECT</x:t>
        </x:is>
      </x:c>
      <x:c r="C11" s="129" t="inlineStr">
        <x:is>
          <x:t xml:space="preserve">VP9</x:t>
        </x:is>
      </x:c>
      <x:c r="D11" s="129" t="inlineStr">
        <x:is>
          <x:t xml:space="preserve">REJECTED/RECOLLECT</x:t>
        </x:is>
      </x:c>
      <x:c r="E11" s="129" t="inlineStr">
        <x:is>
          <x:t xml:space="preserve">IP9</x:t>
        </x:is>
      </x:c>
      <x:c r="F11" s="129" t="inlineStr">
        <x:is>
          <x:t xml:space="preserve">N/A</x:t>
        </x:is>
      </x:c>
      <x:c r="G11" s="129" t="inlineStr">
        <x:is>
          <x:t xml:space="preserve">VB9</x:t>
        </x:is>
      </x:c>
      <x:c r="H11" s="129" t="inlineStr">
        <x:is>
          <x:t xml:space="preserve">N/A</x:t>
        </x:is>
      </x:c>
      <x:c r="I11" s="129" t="inlineStr">
        <x:is>
          <x:t xml:space="preserve">IB9</x:t>
        </x:is>
      </x:c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inlineStr">
        <x:is>
          <x:t xml:space="preserve">* Notes:</x:t>
        </x:is>
      </x:c>
      <x:c r="B27" s="141" t="inlineStr">
        <x:is>
          <x:t xml:space="preserve">Đối chiếu tag VP/IP/VB/IB với Test Design.</x:t>
        </x:is>
      </x:c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inlineStr">
        <x:is>
          <x:t xml:space="preserve">Test case design</x:t>
        </x:is>
      </x:c>
      <x:c r="B1" s="172"/>
      <x:c r="C1" s="172"/>
      <x:c r="D1" s="172"/>
    </x:row>
    <x:row r="2" ht="25.5">
      <x:c r="A2" s="83" t="inlineStr">
        <x:is>
          <x:t xml:space="preserve">Test-case No</x:t>
        </x:is>
      </x:c>
      <x:c r="B2" s="83" t="inlineStr">
        <x:is>
          <x:t xml:space="preserve">Description</x:t>
        </x:is>
      </x:c>
      <x:c r="C2" s="83" t="inlineStr">
        <x:is>
          <x:t xml:space="preserve">Expected result</x:t>
        </x:is>
      </x:c>
      <x:c r="D2" s="83" t="inlineStr">
        <x:is>
          <x:t xml:space="preserve">TAG</x:t>
        </x:is>
      </x:c>
    </x:row>
    <x:row r="3" ht="82" customHeight="1">
      <x:c r="A3" s="152">
        <x:v>1</x:v>
      </x:c>
      <x:c r="B3" s="151" t="inlineStr">
        <x:is>
          <x:t xml:space="preserve">Tạo chỉ định CLS hợp lệ.</x:t>
        </x:is>
      </x:c>
      <x:c r="C3" s="151" t="inlineStr">
        <x:is>
          <x:t xml:space="preserve">201; TestRequest PENDING; tạo/dùng chung queue theo khoa.</x:t>
        </x:is>
      </x:c>
      <x:c r="D3" s="151" t="inlineStr">
        <x:is>
          <x:t xml:space="preserve">VP1,VP2,VP3</x:t>
        </x:is>
      </x:c>
    </x:row>
    <x:row r="4" ht="82" customHeight="1">
      <x:c r="A4" s="152">
        <x:v>2</x:v>
      </x:c>
      <x:c r="B4" s="151" t="inlineStr">
        <x:is>
          <x:t xml:space="preserve">Tạo lại cùng dịch vụ trong Visit.</x:t>
        </x:is>
      </x:c>
      <x:c r="C4" s="151" t="inlineStr">
        <x:is>
          <x:t xml:space="preserve">409; không tạo request/queue trùng.</x:t>
        </x:is>
      </x:c>
      <x:c r="D4" s="151" t="inlineStr">
        <x:is>
          <x:t xml:space="preserve">IP3</x:t>
        </x:is>
      </x:c>
    </x:row>
    <x:row r="5" ht="82" customHeight="1">
      <x:c r="A5" s="152">
        <x:v>3</x:v>
      </x:c>
      <x:c r="B5" s="151" t="inlineStr">
        <x:is>
          <x:t xml:space="preserve">Lưu kết quả nháp.</x:t>
        </x:is>
      </x:c>
      <x:c r="C5" s="151" t="inlineStr">
        <x:is>
          <x:t xml:space="preserve">Tạo Result; request PENDING -&gt; IN_PROGRESS.</x:t>
        </x:is>
      </x:c>
      <x:c r="D5" s="151" t="inlineStr">
        <x:is>
          <x:t xml:space="preserve">VP4</x:t>
        </x:is>
      </x:c>
    </x:row>
    <x:row r="6" ht="82" customHeight="1">
      <x:c r="A6" s="152">
        <x:v>4</x:v>
      </x:c>
      <x:c r="B6" s="151" t="inlineStr">
        <x:is>
          <x:t xml:space="preserve">Hoàn tất với PDF, conclusion và head doctor.</x:t>
        </x:is>
      </x:c>
      <x:c r="C6" s="151" t="inlineStr">
        <x:is>
          <x:t xml:space="preserve">200; COMPLETED; lab queue DONE; queue khám TEST_DONE khi đủ kết quả.</x:t>
        </x:is>
      </x:c>
      <x:c r="D6" s="151" t="inlineStr">
        <x:is>
          <x:t xml:space="preserve">VP4,VP5,VP6,VP7,VP8,VP9</x:t>
        </x:is>
      </x:c>
    </x:row>
    <x:row r="7" ht="82" customHeight="1">
      <x:c r="A7" s="152">
        <x:v>5</x:v>
      </x:c>
      <x:c r="B7" s="151" t="inlineStr">
        <x:is>
          <x:t xml:space="preserve">Hoàn tất thiếu PDF.</x:t>
        </x:is>
      </x:c>
      <x:c r="C7" s="151" t="inlineStr">
        <x:is>
          <x:t xml:space="preserve">400; request chưa COMPLETED.</x:t>
        </x:is>
      </x:c>
      <x:c r="D7" s="151" t="inlineStr">
        <x:is>
          <x:t xml:space="preserve">IP6</x:t>
        </x:is>
      </x:c>
    </x:row>
    <x:row r="8" ht="82" customHeight="1">
      <x:c r="A8" s="152">
        <x:v>6</x:v>
      </x:c>
      <x:c r="B8" s="151" t="inlineStr">
        <x:is>
          <x:t xml:space="preserve">Bác sĩ không phụ trách khoa ký.</x:t>
        </x:is>
      </x:c>
      <x:c r="C8" s="151" t="inlineStr">
        <x:is>
          <x:t xml:space="preserve">400; không verified/complete.</x:t>
        </x:is>
      </x:c>
      <x:c r="D8" s="151" t="inlineStr">
        <x:is>
          <x:t xml:space="preserve">IP8</x:t>
        </x:is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inlineStr">
        <x:is>
          <x:t xml:space="preserve">IT09 - Chỉ định và trả kết quả xét nghiệm</x:t>
        </x:is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inlineStr">
        <x:is>
          <x:t xml:space="preserve">MedicalRecord -&gt; TestRequest -&gt; TestResult -&gt; Queue/PatientJourney.</x:t>
        </x:is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f>COUNTIF(A12:A1000,"IT*")</x:f>
        <x:v>0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inlineStr">
        <x:is>
          <x:t xml:space="preserve">Test Case ID</x:t>
        </x:is>
      </x:c>
      <x:c r="B10" s="83" t="inlineStr">
        <x:is>
          <x:t xml:space="preserve">Test Case Description</x:t>
        </x:is>
      </x:c>
      <x:c r="C10" s="83" t="inlineStr">
        <x:is>
          <x:t xml:space="preserve">Test Case Procedure</x:t>
        </x:is>
      </x:c>
      <x:c r="D10" s="83" t="inlineStr">
        <x:is>
          <x:t xml:space="preserve">Expected Results</x:t>
        </x:is>
      </x:c>
      <x:c r="E10" s="83" t="inlineStr">
        <x:is>
          <x:t xml:space="preserve">Pre-conditions</x:t>
        </x:is>
      </x:c>
      <x:c r="F10" s="83" t="inlineStr">
        <x:is>
          <x:t xml:space="preserve">Round 1</x:t>
        </x:is>
      </x:c>
      <x:c r="G10" s="83" t="inlineStr">
        <x:is>
          <x:t xml:space="preserve">Test date</x:t>
        </x:is>
      </x:c>
      <x:c r="H10" s="83" t="inlineStr">
        <x:is>
          <x:t xml:space="preserve">Tester</x:t>
        </x:is>
      </x:c>
      <x:c r="I10" s="83" t="inlineStr">
        <x:is>
          <x:t xml:space="preserve">Round 2</x:t>
        </x:is>
      </x:c>
      <x:c r="J10" s="83" t="inlineStr">
        <x:is>
          <x:t xml:space="preserve">Test date</x:t>
        </x:is>
      </x:c>
      <x:c r="K10" s="83" t="inlineStr">
        <x:is>
          <x:t xml:space="preserve">Tester</x:t>
        </x:is>
      </x:c>
      <x:c r="L10" s="83" t="inlineStr">
        <x:is>
          <x:t xml:space="preserve">Round 3</x:t>
        </x:is>
      </x:c>
      <x:c r="M10" s="83" t="inlineStr">
        <x:is>
          <x:t xml:space="preserve">Test date</x:t>
        </x:is>
      </x:c>
      <x:c r="N10" s="83" t="inlineStr">
        <x:is>
          <x:t xml:space="preserve">Tester</x:t>
        </x:is>
      </x:c>
      <x:c r="O10" s="83" t="inlineStr">
        <x:is>
          <x:t xml:space="preserve">Note</x:t>
        </x:is>
      </x:c>
      <x:c r="Q10" s="34"/>
    </x:row>
    <x:row r="11" s="30" customFormat="1" ht="18" customHeight="1">
      <x:c r="A11" s="79" t="inlineStr">
        <x:is>
          <x:t xml:space="preserve">Tạo chỉ định</x:t>
        </x:is>
      </x:c>
      <x:c r="Q11" s="38"/>
    </x:row>
    <x:row r="12" s="44" customFormat="1" ht="105" customHeight="1">
      <x:c r="A12" s="39" t="inlineStr">
        <x:is>
          <x:t xml:space="preserve">IT09-001</x:t>
        </x:is>
      </x:c>
      <x:c r="B12" s="39" t="inlineStr">
        <x:is>
          <x:t xml:space="preserve">Tạo chỉ định CLS</x:t>
        </x:is>
      </x:c>
      <x:c r="C12" s="39" t="inlineStr">
        <x:is>
          <x:t xml:space="preserve">DOCTOR POST /api/v1/test-requests với record/service/staff hợp lệ.</x:t>
        </x:is>
      </x:c>
      <x:c r="D12" s="45" t="inlineStr">
        <x:is>
          <x:t xml:space="preserve">201; TestRequest PENDING; chọn khoa; tạo/dùng chung QueueTicket.</x:t>
        </x:is>
      </x:c>
      <x:c r="E12" s="39" t="inlineStr">
        <x:is>
          <x:t xml:space="preserve">MedicalRecord/Visit/Service hợp lệ.</x:t>
        </x:is>
      </x:c>
      <x:c r="F12" s="39" t="inlineStr">
        <x:is>
          <x:t xml:space="preserve">Pending</x:t>
        </x:is>
      </x:c>
      <x:c r="I12" s="39" t="inlineStr">
        <x:is>
          <x:t xml:space="preserve">Pending</x:t>
        </x:is>
      </x:c>
      <x:c r="L12" s="39" t="inlineStr">
        <x:is>
          <x:t xml:space="preserve">Pending</x:t>
        </x:is>
      </x:c>
      <x:c r="O12" s="39" t="inlineStr">
        <x:is>
          <x:t xml:space="preserve">VP1,VP2,VP3</x:t>
        </x:is>
      </x:c>
      <x:c r="Q12" s="43"/>
    </x:row>
    <x:row r="13" ht="105" customHeight="1">
      <x:c r="A13" s="39" t="inlineStr">
        <x:is>
          <x:t xml:space="preserve">IT09-002</x:t>
        </x:is>
      </x:c>
      <x:c r="B13" s="39" t="inlineStr">
        <x:is>
          <x:t xml:space="preserve">Chỉ định trùng dịch vụ</x:t>
        </x:is>
      </x:c>
      <x:c r="C13" s="39" t="inlineStr">
        <x:is>
          <x:t xml:space="preserve">POST cùng service lần hai.</x:t>
        </x:is>
      </x:c>
      <x:c r="D13" s="45" t="inlineStr">
        <x:is>
          <x:t xml:space="preserve">409; không tạo request/ticket trùng.</x:t>
        </x:is>
      </x:c>
      <x:c r="E13" s="39" t="inlineStr">
        <x:is>
          <x:t xml:space="preserve">Request cũ chưa CANCELLED.</x:t>
        </x:is>
      </x:c>
      <x:c r="F13" s="39" t="inlineStr">
        <x:is>
          <x:t xml:space="preserve">Pending</x:t>
        </x:is>
      </x:c>
      <x:c r="I13" s="39" t="inlineStr">
        <x:is>
          <x:t xml:space="preserve">Pending</x:t>
        </x:is>
      </x:c>
      <x:c r="L13" s="39" t="inlineStr">
        <x:is>
          <x:t xml:space="preserve">Pending</x:t>
        </x:is>
      </x:c>
      <x:c r="O13" s="39" t="inlineStr">
        <x:is>
          <x:t xml:space="preserve">IP3</x:t>
        </x:is>
      </x:c>
      <x:c r="Q13" s="43"/>
    </x:row>
    <x:row r="14" ht="18">
      <x:c r="A14" s="79" t="inlineStr">
        <x:is>
          <x:t xml:space="preserve">Nhập và hoàn tất kết quả</x:t>
        </x:is>
      </x:c>
      <x:c r="Q14" s="43"/>
    </x:row>
    <x:row r="15" s="30" customFormat="1" ht="105" customHeight="1">
      <x:c r="A15" s="39" t="inlineStr">
        <x:is>
          <x:t xml:space="preserve">IT09-003</x:t>
        </x:is>
      </x:c>
      <x:c r="B15" s="39" t="inlineStr">
        <x:is>
          <x:t xml:space="preserve">Lưu kết quả nháp</x:t>
        </x:is>
      </x:c>
      <x:c r="C15" s="39" t="inlineStr">
        <x:is>
          <x:t xml:space="preserve">POST /{id}/result với PDF, conclusion, performedById.</x:t>
        </x:is>
      </x:c>
      <x:c r="D15" s="45" t="inlineStr">
        <x:is>
          <x:t xml:space="preserve">Tạo Result; request -&gt; IN_PROGRESS; chưa verified.</x:t>
        </x:is>
      </x:c>
      <x:c r="E15" s="39" t="inlineStr">
        <x:is>
          <x:t xml:space="preserve">Request PENDING.</x:t>
        </x:is>
      </x:c>
      <x:c r="F15" s="39" t="inlineStr">
        <x:is>
          <x:t xml:space="preserve">Pending</x:t>
        </x:is>
      </x:c>
      <x:c r="I15" s="39" t="inlineStr">
        <x:is>
          <x:t xml:space="preserve">Pending</x:t>
        </x:is>
      </x:c>
      <x:c r="L15" s="39" t="inlineStr">
        <x:is>
          <x:t xml:space="preserve">Pending</x:t>
        </x:is>
      </x:c>
      <x:c r="O15" s="39" t="inlineStr">
        <x:is>
          <x:t xml:space="preserve">VP4</x:t>
        </x:is>
      </x:c>
      <x:c r="Q15" s="38"/>
    </x:row>
    <x:row r="16" ht="105" customHeight="1">
      <x:c r="A16" s="39" t="inlineStr">
        <x:is>
          <x:t xml:space="preserve">IT09-004</x:t>
        </x:is>
      </x:c>
      <x:c r="B16" s="39" t="inlineStr">
        <x:is>
          <x:t xml:space="preserve">Hoàn tất kết quả</x:t>
        </x:is>
      </x:c>
      <x:c r="C16" s="39" t="inlineStr">
        <x:is>
          <x:t xml:space="preserve">POST /{id}/result/complete bằng head doctor, PDF và conclusion hợp lệ.</x:t>
        </x:is>
      </x:c>
      <x:c r="D16" s="45" t="inlineStr">
        <x:is>
          <x:t xml:space="preserve">200; request COMPLETED; verifiedAt/By; lab queue DONE; queue khám TEST_DONE khi đủ.</x:t>
        </x:is>
      </x:c>
      <x:c r="E16" s="39" t="inlineStr">
        <x:is>
          <x:t xml:space="preserve">Execution queue IN_PROGRESS.</x:t>
        </x:is>
      </x:c>
      <x:c r="F16" s="39" t="inlineStr">
        <x:is>
          <x:t xml:space="preserve">Pending</x:t>
        </x:is>
      </x:c>
      <x:c r="I16" s="39" t="inlineStr">
        <x:is>
          <x:t xml:space="preserve">Pending</x:t>
        </x:is>
      </x:c>
      <x:c r="L16" s="39" t="inlineStr">
        <x:is>
          <x:t xml:space="preserve">Pending</x:t>
        </x:is>
      </x:c>
      <x:c r="O16" s="39" t="inlineStr">
        <x:is>
          <x:t xml:space="preserve">VP4,VP5,VP6,VP7,VP8,VP9</x:t>
        </x:is>
      </x:c>
      <x:c r="Q16" s="43"/>
    </x:row>
    <x:row r="17" ht="18">
      <x:c r="A17" s="79" t="inlineStr">
        <x:is>
          <x:t xml:space="preserve">Validation hoàn tất</x:t>
        </x:is>
      </x:c>
    </x:row>
    <x:row r="18" ht="105" customHeight="1">
      <x:c r="A18" s="39" t="inlineStr">
        <x:is>
          <x:t xml:space="preserve">IT09-005</x:t>
        </x:is>
      </x:c>
      <x:c r="B18" s="39" t="inlineStr">
        <x:is>
          <x:t xml:space="preserve">Thiếu PDF</x:t>
        </x:is>
      </x:c>
      <x:c r="C18" s="39" t="inlineStr">
        <x:is>
          <x:t xml:space="preserve">Complete với imageUrl rỗng/.jpg.</x:t>
        </x:is>
      </x:c>
      <x:c r="D18" s="45" t="inlineStr">
        <x:is>
          <x:t xml:space="preserve">400; chưa COMPLETED.</x:t>
        </x:is>
      </x:c>
      <x:c r="E18" s="39" t="inlineStr">
        <x:is>
          <x:t xml:space="preserve">Signer và queue hợp lệ.</x:t>
        </x:is>
      </x:c>
      <x:c r="F18" s="39" t="inlineStr">
        <x:is>
          <x:t xml:space="preserve">Pending</x:t>
        </x:is>
      </x:c>
      <x:c r="I18" s="39" t="inlineStr">
        <x:is>
          <x:t xml:space="preserve">Pending</x:t>
        </x:is>
      </x:c>
      <x:c r="L18" s="39" t="inlineStr">
        <x:is>
          <x:t xml:space="preserve">Pending</x:t>
        </x:is>
      </x:c>
      <x:c r="O18" s="39" t="inlineStr">
        <x:is>
          <x:t xml:space="preserve">IP6</x:t>
        </x:is>
      </x:c>
    </x:row>
    <x:row r="19" s="44" customFormat="1" ht="105" customHeight="1">
      <x:c r="A19" s="39" t="inlineStr">
        <x:is>
          <x:t xml:space="preserve">IT09-006</x:t>
        </x:is>
      </x:c>
      <x:c r="B19" s="39" t="inlineStr">
        <x:is>
          <x:t xml:space="preserve">Sai bác sĩ ký</x:t>
        </x:is>
      </x:c>
      <x:c r="C19" s="39" t="inlineStr">
        <x:is>
          <x:t xml:space="preserve">Complete bằng bác sĩ không phụ trách khoa.</x:t>
        </x:is>
      </x:c>
      <x:c r="D19" s="45" t="inlineStr">
        <x:is>
          <x:t xml:space="preserve">400; không verified/complete.</x:t>
        </x:is>
      </x:c>
      <x:c r="E19" s="39" t="inlineStr">
        <x:is>
          <x:t xml:space="preserve">Kết quả khác hợp lệ.</x:t>
        </x:is>
      </x:c>
      <x:c r="F19" s="39" t="inlineStr">
        <x:is>
          <x:t xml:space="preserve">Pending</x:t>
        </x:is>
      </x:c>
      <x:c r="I19" s="39" t="inlineStr">
        <x:is>
          <x:t xml:space="preserve">Pending</x:t>
        </x:is>
      </x:c>
      <x:c r="L19" s="39" t="inlineStr">
        <x:is>
          <x:t xml:space="preserve">Pending</x:t>
        </x:is>
      </x:c>
      <x:c r="O19" s="39" t="inlineStr">
        <x:is>
          <x:t xml:space="preserve">IP8</x:t>
        </x:is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3c0fbfdbee27433e"/>
</x:worksheet>
</file>

<file path=xl/worksheets/sheet14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inlineStr">
        <x:is>
          <x:t xml:space="preserve">Test Condition Analysis</x:t>
        </x:is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inlineStr">
        <x:is>
          <x:t xml:space="preserve">Condition</x:t>
        </x:is>
      </x:c>
      <x:c r="B2" s="83" t="inlineStr">
        <x:is>
          <x:t xml:space="preserve">Valid Partitions</x:t>
        </x:is>
      </x:c>
      <x:c r="C2" s="83" t="inlineStr">
        <x:is>
          <x:t xml:space="preserve">Tag</x:t>
        </x:is>
      </x:c>
      <x:c r="D2" s="83" t="inlineStr">
        <x:is>
          <x:t xml:space="preserve">Invalid Partitions</x:t>
        </x:is>
      </x:c>
      <x:c r="E2" s="83" t="inlineStr">
        <x:is>
          <x:t xml:space="preserve">Tag</x:t>
        </x:is>
      </x:c>
      <x:c r="F2" s="83" t="inlineStr">
        <x:is>
          <x:t xml:space="preserve">Valid Boundaries</x:t>
        </x:is>
      </x:c>
      <x:c r="G2" s="83" t="inlineStr">
        <x:is>
          <x:t xml:space="preserve">Tag</x:t>
        </x:is>
      </x:c>
      <x:c r="H2" s="83" t="inlineStr">
        <x:is>
          <x:t xml:space="preserve">Invalid Boundaries</x:t>
        </x:is>
      </x:c>
      <x:c r="I2" s="83" t="inlineStr">
        <x:is>
          <x:t xml:space="preserve">Tag</x:t>
        </x:is>
      </x:c>
    </x:row>
    <x:row r="3" ht="42" customHeight="1">
      <x:c r="A3" s="130" t="inlineStr">
        <x:is>
          <x:t xml:space="preserve">username</x:t>
        </x:is>
      </x:c>
      <x:c r="B3" s="129" t="inlineStr">
        <x:is>
          <x:t xml:space="preserve">Account tồn tại</x:t>
        </x:is>
      </x:c>
      <x:c r="C3" s="129" t="inlineStr">
        <x:is>
          <x:t xml:space="preserve">VP1</x:t>
        </x:is>
      </x:c>
      <x:c r="D3" s="129" t="inlineStr">
        <x:is>
          <x:t xml:space="preserve">Không tồn tại/rỗng</x:t>
        </x:is>
      </x:c>
      <x:c r="E3" s="129" t="inlineStr">
        <x:is>
          <x:t xml:space="preserve">IP1</x:t>
        </x:is>
      </x:c>
      <x:c r="F3" s="129" t="inlineStr">
        <x:is>
          <x:t xml:space="preserve">Chuỗi hợp lệ</x:t>
        </x:is>
      </x:c>
      <x:c r="G3" s="129" t="inlineStr">
        <x:is>
          <x:t xml:space="preserve">VB1</x:t>
        </x:is>
      </x:c>
      <x:c r="H3" s="129" t="inlineStr">
        <x:is>
          <x:t xml:space="preserve">Null</x:t>
        </x:is>
      </x:c>
      <x:c r="I3" s="129" t="inlineStr">
        <x:is>
          <x:t xml:space="preserve">IB1</x:t>
        </x:is>
      </x:c>
    </x:row>
    <x:row r="4" ht="42" customHeight="1">
      <x:c r="A4" s="130" t="inlineStr">
        <x:is>
          <x:t xml:space="preserve">password</x:t>
        </x:is>
      </x:c>
      <x:c r="B4" s="129" t="inlineStr">
        <x:is>
          <x:t xml:space="preserve">Đúng mật khẩu</x:t>
        </x:is>
      </x:c>
      <x:c r="C4" s="129" t="inlineStr">
        <x:is>
          <x:t xml:space="preserve">VP2</x:t>
        </x:is>
      </x:c>
      <x:c r="D4" s="129" t="inlineStr">
        <x:is>
          <x:t xml:space="preserve">Sai/rỗng</x:t>
        </x:is>
      </x:c>
      <x:c r="E4" s="129" t="inlineStr">
        <x:is>
          <x:t xml:space="preserve">IP2</x:t>
        </x:is>
      </x:c>
      <x:c r="F4" s="129" t="inlineStr">
        <x:is>
          <x:t xml:space="preserve">Độ dài hợp lệ</x:t>
        </x:is>
      </x:c>
      <x:c r="G4" s="129" t="inlineStr">
        <x:is>
          <x:t xml:space="preserve">VB2</x:t>
        </x:is>
      </x:c>
      <x:c r="H4" s="129" t="inlineStr">
        <x:is>
          <x:t xml:space="preserve">Rỗng</x:t>
        </x:is>
      </x:c>
      <x:c r="I4" s="129" t="inlineStr">
        <x:is>
          <x:t xml:space="preserve">IB2</x:t>
        </x:is>
      </x:c>
    </x:row>
    <x:row r="5" ht="42" customHeight="1">
      <x:c r="A5" s="130" t="inlineStr">
        <x:is>
          <x:t xml:space="preserve">account active</x:t>
        </x:is>
      </x:c>
      <x:c r="B5" s="129" t="inlineStr">
        <x:is>
          <x:t xml:space="preserve">isActive=true</x:t>
        </x:is>
      </x:c>
      <x:c r="C5" s="129" t="inlineStr">
        <x:is>
          <x:t xml:space="preserve">VP3</x:t>
        </x:is>
      </x:c>
      <x:c r="D5" s="129" t="inlineStr">
        <x:is>
          <x:t xml:space="preserve">Tài khoản bị khóa</x:t>
        </x:is>
      </x:c>
      <x:c r="E5" s="129" t="inlineStr">
        <x:is>
          <x:t xml:space="preserve">IP3</x:t>
        </x:is>
      </x:c>
      <x:c r="F5" s="129" t="inlineStr">
        <x:is>
          <x:t xml:space="preserve">N/A</x:t>
        </x:is>
      </x:c>
      <x:c r="G5" s="129" t="inlineStr">
        <x:is>
          <x:t xml:space="preserve">VB3</x:t>
        </x:is>
      </x:c>
      <x:c r="H5" s="129" t="inlineStr">
        <x:is>
          <x:t xml:space="preserve">N/A</x:t>
        </x:is>
      </x:c>
      <x:c r="I5" s="129" t="inlineStr">
        <x:is>
          <x:t xml:space="preserve">IB3</x:t>
        </x:is>
      </x:c>
    </x:row>
    <x:row r="6" ht="42" customHeight="1">
      <x:c r="A6" s="130" t="inlineStr">
        <x:is>
          <x:t xml:space="preserve">refresh token</x:t>
        </x:is>
      </x:c>
      <x:c r="B6" s="129" t="inlineStr">
        <x:is>
          <x:t xml:space="preserve">Token refresh hợp lệ, còn hạn</x:t>
        </x:is>
      </x:c>
      <x:c r="C6" s="129" t="inlineStr">
        <x:is>
          <x:t xml:space="preserve">VP4</x:t>
        </x:is>
      </x:c>
      <x:c r="D6" s="129" t="inlineStr">
        <x:is>
          <x:t xml:space="preserve">Access token/sai chữ ký/hết hạn</x:t>
        </x:is>
      </x:c>
      <x:c r="E6" s="129" t="inlineStr">
        <x:is>
          <x:t xml:space="preserve">IP4</x:t>
        </x:is>
      </x:c>
      <x:c r="F6" s="129" t="inlineStr">
        <x:is>
          <x:t xml:space="preserve">Ngay trước hết hạn</x:t>
        </x:is>
      </x:c>
      <x:c r="G6" s="129" t="inlineStr">
        <x:is>
          <x:t xml:space="preserve">VB4</x:t>
        </x:is>
      </x:c>
      <x:c r="H6" s="129" t="inlineStr">
        <x:is>
          <x:t xml:space="preserve">Sau hết hạn</x:t>
        </x:is>
      </x:c>
      <x:c r="I6" s="129" t="inlineStr">
        <x:is>
          <x:t xml:space="preserve">IB4</x:t>
        </x:is>
      </x:c>
    </x:row>
    <x:row r="7" ht="42" customHeight="1">
      <x:c r="A7" s="130" t="inlineStr">
        <x:is>
          <x:t xml:space="preserve">authorization</x:t>
        </x:is>
      </x:c>
      <x:c r="B7" s="129" t="inlineStr">
        <x:is>
          <x:t xml:space="preserve">Bearer access token hợp lệ</x:t>
        </x:is>
      </x:c>
      <x:c r="C7" s="129" t="inlineStr">
        <x:is>
          <x:t xml:space="preserve">VP5</x:t>
        </x:is>
      </x:c>
      <x:c r="D7" s="129" t="inlineStr">
        <x:is>
          <x:t xml:space="preserve">Thiếu/sai token</x:t>
        </x:is>
      </x:c>
      <x:c r="E7" s="129" t="inlineStr">
        <x:is>
          <x:t xml:space="preserve">IP5</x:t>
        </x:is>
      </x:c>
      <x:c r="F7" s="129" t="inlineStr">
        <x:is>
          <x:t xml:space="preserve">N/A</x:t>
        </x:is>
      </x:c>
      <x:c r="G7" s="129" t="inlineStr">
        <x:is>
          <x:t xml:space="preserve">VB5</x:t>
        </x:is>
      </x:c>
      <x:c r="H7" s="129" t="inlineStr">
        <x:is>
          <x:t xml:space="preserve">Null</x:t>
        </x:is>
      </x:c>
      <x:c r="I7" s="129" t="inlineStr">
        <x:is>
          <x:t xml:space="preserve">IB5</x:t>
        </x:is>
      </x:c>
    </x:row>
    <x:row r="8" ht="42" customHeight="1">
      <x:c r="A8" s="130" t="inlineStr">
        <x:is>
          <x:t xml:space="preserve">role claim</x:t>
        </x:is>
      </x:c>
      <x:c r="B8" s="129" t="inlineStr">
        <x:is>
          <x:t xml:space="preserve">Role/systemRole đúng account</x:t>
        </x:is>
      </x:c>
      <x:c r="C8" s="129" t="inlineStr">
        <x:is>
          <x:t xml:space="preserve">VP6</x:t>
        </x:is>
      </x:c>
      <x:c r="D8" s="129" t="inlineStr">
        <x:is>
          <x:t xml:space="preserve">Claim không khớp</x:t>
        </x:is>
      </x:c>
      <x:c r="E8" s="129" t="inlineStr">
        <x:is>
          <x:t xml:space="preserve">IP6</x:t>
        </x:is>
      </x:c>
      <x:c r="F8" s="129" t="inlineStr">
        <x:is>
          <x:t xml:space="preserve">N/A</x:t>
        </x:is>
      </x:c>
      <x:c r="G8" s="129" t="inlineStr">
        <x:is>
          <x:t xml:space="preserve">VB6</x:t>
        </x:is>
      </x:c>
      <x:c r="H8" s="129" t="inlineStr">
        <x:is>
          <x:t xml:space="preserve">N/A</x:t>
        </x:is>
      </x:c>
      <x:c r="I8" s="129" t="inlineStr">
        <x:is>
          <x:t xml:space="preserve">IB6</x:t>
        </x:is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inlineStr">
        <x:is>
          <x:t xml:space="preserve">* Notes:</x:t>
        </x:is>
      </x:c>
      <x:c r="B27" s="141" t="inlineStr">
        <x:is>
          <x:t xml:space="preserve">Đối chiếu tag VP/IP/VB/IB với Test Design.</x:t>
        </x:is>
      </x:c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inlineStr">
        <x:is>
          <x:t xml:space="preserve">Test case design</x:t>
        </x:is>
      </x:c>
      <x:c r="B1" s="172"/>
      <x:c r="C1" s="172"/>
      <x:c r="D1" s="172"/>
    </x:row>
    <x:row r="2" ht="25.5">
      <x:c r="A2" s="83" t="inlineStr">
        <x:is>
          <x:t xml:space="preserve">Test-case No</x:t>
        </x:is>
      </x:c>
      <x:c r="B2" s="83" t="inlineStr">
        <x:is>
          <x:t xml:space="preserve">Description</x:t>
        </x:is>
      </x:c>
      <x:c r="C2" s="83" t="inlineStr">
        <x:is>
          <x:t xml:space="preserve">Expected result</x:t>
        </x:is>
      </x:c>
      <x:c r="D2" s="83" t="inlineStr">
        <x:is>
          <x:t xml:space="preserve">TAG</x:t>
        </x:is>
      </x:c>
    </x:row>
    <x:row r="3" ht="82" customHeight="1">
      <x:c r="A3" s="152">
        <x:v>1</x:v>
      </x:c>
      <x:c r="B3" s="151" t="inlineStr">
        <x:is>
          <x:t xml:space="preserve">Đăng nhập đúng tài khoản active.</x:t>
        </x:is>
      </x:c>
      <x:c r="C3" s="151" t="inlineStr">
        <x:is>
          <x:t xml:space="preserve">200; trả access/refresh token và thông tin role.</x:t>
        </x:is>
      </x:c>
      <x:c r="D3" s="151" t="inlineStr">
        <x:is>
          <x:t xml:space="preserve">VP1,VP2,VP3,VP6</x:t>
        </x:is>
      </x:c>
    </x:row>
    <x:row r="4" ht="82" customHeight="1">
      <x:c r="A4" s="152">
        <x:v>2</x:v>
      </x:c>
      <x:c r="B4" s="151" t="inlineStr">
        <x:is>
          <x:t xml:space="preserve">Đăng nhập sai password.</x:t>
        </x:is>
      </x:c>
      <x:c r="C4" s="151" t="inlineStr">
        <x:is>
          <x:t xml:space="preserve">400; không cấp token.</x:t>
        </x:is>
      </x:c>
      <x:c r="D4" s="151" t="inlineStr">
        <x:is>
          <x:t xml:space="preserve">IP2</x:t>
        </x:is>
      </x:c>
    </x:row>
    <x:row r="5" ht="82" customHeight="1">
      <x:c r="A5" s="152">
        <x:v>3</x:v>
      </x:c>
      <x:c r="B5" s="151" t="inlineStr">
        <x:is>
          <x:t xml:space="preserve">Đăng nhập tài khoản bị khóa.</x:t>
        </x:is>
      </x:c>
      <x:c r="C5" s="151" t="inlineStr">
        <x:is>
          <x:t xml:space="preserve">400; không cấp token.</x:t>
        </x:is>
      </x:c>
      <x:c r="D5" s="151" t="inlineStr">
        <x:is>
          <x:t xml:space="preserve">IP3</x:t>
        </x:is>
      </x:c>
    </x:row>
    <x:row r="6" ht="82" customHeight="1">
      <x:c r="A6" s="152">
        <x:v>4</x:v>
      </x:c>
      <x:c r="B6" s="151" t="inlineStr">
        <x:is>
          <x:t xml:space="preserve">Refresh bằng refresh token hợp lệ.</x:t>
        </x:is>
      </x:c>
      <x:c r="C6" s="151" t="inlineStr">
        <x:is>
          <x:t xml:space="preserve">200; cấp bộ token mới.</x:t>
        </x:is>
      </x:c>
      <x:c r="D6" s="151" t="inlineStr">
        <x:is>
          <x:t xml:space="preserve">VP4</x:t>
        </x:is>
      </x:c>
    </x:row>
    <x:row r="7" ht="82" customHeight="1">
      <x:c r="A7" s="152">
        <x:v>5</x:v>
      </x:c>
      <x:c r="B7" s="151" t="inlineStr">
        <x:is>
          <x:t xml:space="preserve">Refresh bằng access token hoặc token hết hạn.</x:t>
        </x:is>
      </x:c>
      <x:c r="C7" s="151" t="inlineStr">
        <x:is>
          <x:t xml:space="preserve">400; không cấp token.</x:t>
        </x:is>
      </x:c>
      <x:c r="D7" s="151" t="inlineStr">
        <x:is>
          <x:t xml:space="preserve">IP4,IB4</x:t>
        </x:is>
      </x:c>
    </x:row>
    <x:row r="8" ht="82" customHeight="1">
      <x:c r="A8" s="152">
        <x:v>6</x:v>
      </x:c>
      <x:c r="B8" s="151" t="inlineStr">
        <x:is>
          <x:t xml:space="preserve">Gọi /api/auth/me thiếu Bearer token.</x:t>
        </x:is>
      </x:c>
      <x:c r="C8" s="151" t="inlineStr">
        <x:is>
          <x:t xml:space="preserve">401/403; không trả thông tin account.</x:t>
        </x:is>
      </x:c>
      <x:c r="D8" s="151" t="inlineStr">
        <x:is>
          <x:t xml:space="preserve">IP5</x:t>
        </x:is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inlineStr">
        <x:is>
          <x:t xml:space="preserve">IT02 - Đăng nhập và refresh token</x:t>
        </x:is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inlineStr">
        <x:is>
          <x:t xml:space="preserve">Account -&gt; Authentication -&gt; JWT access/refresh.</x:t>
        </x:is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f>COUNTIF(A12:A1000,"IT*")</x:f>
        <x:v>0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inlineStr">
        <x:is>
          <x:t xml:space="preserve">Test Case ID</x:t>
        </x:is>
      </x:c>
      <x:c r="B10" s="83" t="inlineStr">
        <x:is>
          <x:t xml:space="preserve">Test Case Description</x:t>
        </x:is>
      </x:c>
      <x:c r="C10" s="83" t="inlineStr">
        <x:is>
          <x:t xml:space="preserve">Test Case Procedure</x:t>
        </x:is>
      </x:c>
      <x:c r="D10" s="83" t="inlineStr">
        <x:is>
          <x:t xml:space="preserve">Expected Results</x:t>
        </x:is>
      </x:c>
      <x:c r="E10" s="83" t="inlineStr">
        <x:is>
          <x:t xml:space="preserve">Pre-conditions</x:t>
        </x:is>
      </x:c>
      <x:c r="F10" s="83" t="inlineStr">
        <x:is>
          <x:t xml:space="preserve">Round 1</x:t>
        </x:is>
      </x:c>
      <x:c r="G10" s="83" t="inlineStr">
        <x:is>
          <x:t xml:space="preserve">Test date</x:t>
        </x:is>
      </x:c>
      <x:c r="H10" s="83" t="inlineStr">
        <x:is>
          <x:t xml:space="preserve">Tester</x:t>
        </x:is>
      </x:c>
      <x:c r="I10" s="83" t="inlineStr">
        <x:is>
          <x:t xml:space="preserve">Round 2</x:t>
        </x:is>
      </x:c>
      <x:c r="J10" s="83" t="inlineStr">
        <x:is>
          <x:t xml:space="preserve">Test date</x:t>
        </x:is>
      </x:c>
      <x:c r="K10" s="83" t="inlineStr">
        <x:is>
          <x:t xml:space="preserve">Tester</x:t>
        </x:is>
      </x:c>
      <x:c r="L10" s="83" t="inlineStr">
        <x:is>
          <x:t xml:space="preserve">Round 3</x:t>
        </x:is>
      </x:c>
      <x:c r="M10" s="83" t="inlineStr">
        <x:is>
          <x:t xml:space="preserve">Test date</x:t>
        </x:is>
      </x:c>
      <x:c r="N10" s="83" t="inlineStr">
        <x:is>
          <x:t xml:space="preserve">Tester</x:t>
        </x:is>
      </x:c>
      <x:c r="O10" s="83" t="inlineStr">
        <x:is>
          <x:t xml:space="preserve">Note</x:t>
        </x:is>
      </x:c>
      <x:c r="Q10" s="34"/>
    </x:row>
    <x:row r="11" s="30" customFormat="1" ht="18" customHeight="1">
      <x:c r="A11" s="79" t="inlineStr">
        <x:is>
          <x:t xml:space="preserve">Luồng hợp lệ</x:t>
        </x:is>
      </x:c>
      <x:c r="Q11" s="38"/>
    </x:row>
    <x:row r="12" s="44" customFormat="1" ht="105" customHeight="1">
      <x:c r="A12" s="39" t="inlineStr">
        <x:is>
          <x:t xml:space="preserve">IT02-001</x:t>
        </x:is>
      </x:c>
      <x:c r="B12" s="39" t="inlineStr">
        <x:is>
          <x:t xml:space="preserve">Đăng nhập thành công</x:t>
        </x:is>
      </x:c>
      <x:c r="C12" s="39" t="inlineStr">
        <x:is>
          <x:t xml:space="preserve">POST /api/auth/login với username/password đúng.</x:t>
        </x:is>
      </x:c>
      <x:c r="D12" s="45" t="inlineStr">
        <x:is>
          <x:t xml:space="preserve">200; JWT có đúng accountId, role và systemRole.</x:t>
        </x:is>
      </x:c>
      <x:c r="E12" s="39" t="inlineStr">
        <x:is>
          <x:t xml:space="preserve">Account active.</x:t>
        </x:is>
      </x:c>
      <x:c r="F12" s="39" t="inlineStr">
        <x:is>
          <x:t xml:space="preserve">Pending</x:t>
        </x:is>
      </x:c>
      <x:c r="I12" s="39" t="inlineStr">
        <x:is>
          <x:t xml:space="preserve">Pending</x:t>
        </x:is>
      </x:c>
      <x:c r="L12" s="39" t="inlineStr">
        <x:is>
          <x:t xml:space="preserve">Pending</x:t>
        </x:is>
      </x:c>
      <x:c r="O12" s="39" t="inlineStr">
        <x:is>
          <x:t xml:space="preserve">VP1,VP2,VP3,VP6</x:t>
        </x:is>
      </x:c>
      <x:c r="Q12" s="43"/>
    </x:row>
    <x:row r="13" ht="105" customHeight="1">
      <x:c r="A13" s="39" t="inlineStr">
        <x:is>
          <x:t xml:space="preserve">IT02-002</x:t>
        </x:is>
      </x:c>
      <x:c r="B13" s="39" t="inlineStr">
        <x:is>
          <x:t xml:space="preserve">Sai mật khẩu</x:t>
        </x:is>
      </x:c>
      <x:c r="C13" s="39" t="inlineStr">
        <x:is>
          <x:t xml:space="preserve">POST /api/auth/login với password sai.</x:t>
        </x:is>
      </x:c>
      <x:c r="D13" s="45" t="inlineStr">
        <x:is>
          <x:t xml:space="preserve">400; không có token trong response.</x:t>
        </x:is>
      </x:c>
      <x:c r="E13" s="39" t="inlineStr">
        <x:is>
          <x:t xml:space="preserve">Account tồn tại.</x:t>
        </x:is>
      </x:c>
      <x:c r="F13" s="39" t="inlineStr">
        <x:is>
          <x:t xml:space="preserve">Pending</x:t>
        </x:is>
      </x:c>
      <x:c r="I13" s="39" t="inlineStr">
        <x:is>
          <x:t xml:space="preserve">Pending</x:t>
        </x:is>
      </x:c>
      <x:c r="L13" s="39" t="inlineStr">
        <x:is>
          <x:t xml:space="preserve">Pending</x:t>
        </x:is>
      </x:c>
      <x:c r="O13" s="39" t="inlineStr">
        <x:is>
          <x:t xml:space="preserve">IP2</x:t>
        </x:is>
      </x:c>
      <x:c r="Q13" s="43"/>
    </x:row>
    <x:row r="14" ht="18" customHeight="1">
      <x:c r="A14" s="79" t="inlineStr">
        <x:is>
          <x:t xml:space="preserve">Validation nghiệp vụ</x:t>
        </x:is>
      </x:c>
      <x:c r="Q14" s="43"/>
    </x:row>
    <x:row r="15" s="30" customFormat="1" ht="105" customHeight="1">
      <x:c r="A15" s="39" t="inlineStr">
        <x:is>
          <x:t xml:space="preserve">IT02-003</x:t>
        </x:is>
      </x:c>
      <x:c r="B15" s="39" t="inlineStr">
        <x:is>
          <x:t xml:space="preserve">Tài khoản bị khóa</x:t>
        </x:is>
      </x:c>
      <x:c r="C15" s="39" t="inlineStr">
        <x:is>
          <x:t xml:space="preserve">Khóa account rồi POST /api/auth/login.</x:t>
        </x:is>
      </x:c>
      <x:c r="D15" s="45" t="inlineStr">
        <x:is>
          <x:t xml:space="preserve">400; không cấp token.</x:t>
        </x:is>
      </x:c>
      <x:c r="E15" s="39" t="inlineStr">
        <x:is>
          <x:t xml:space="preserve">isActive=false.</x:t>
        </x:is>
      </x:c>
      <x:c r="F15" s="39" t="inlineStr">
        <x:is>
          <x:t xml:space="preserve">Pending</x:t>
        </x:is>
      </x:c>
      <x:c r="I15" s="39" t="inlineStr">
        <x:is>
          <x:t xml:space="preserve">Pending</x:t>
        </x:is>
      </x:c>
      <x:c r="L15" s="39" t="inlineStr">
        <x:is>
          <x:t xml:space="preserve">Pending</x:t>
        </x:is>
      </x:c>
      <x:c r="O15" s="39" t="inlineStr">
        <x:is>
          <x:t xml:space="preserve">IP3</x:t>
        </x:is>
      </x:c>
      <x:c r="Q15" s="38"/>
    </x:row>
    <x:row r="16" ht="105" customHeight="1">
      <x:c r="A16" s="39" t="inlineStr">
        <x:is>
          <x:t xml:space="preserve">IT02-004</x:t>
        </x:is>
      </x:c>
      <x:c r="B16" s="39" t="inlineStr">
        <x:is>
          <x:t xml:space="preserve">Refresh token hợp lệ</x:t>
        </x:is>
      </x:c>
      <x:c r="C16" s="39" t="inlineStr">
        <x:is>
          <x:t xml:space="preserve">POST /api/auth/refresh với refreshToken.</x:t>
        </x:is>
      </x:c>
      <x:c r="D16" s="45" t="inlineStr">
        <x:is>
          <x:t xml:space="preserve">200; access/refresh mới hợp lệ.</x:t>
        </x:is>
      </x:c>
      <x:c r="E16" s="39" t="inlineStr">
        <x:is>
          <x:t xml:space="preserve">Đã đăng nhập.</x:t>
        </x:is>
      </x:c>
      <x:c r="F16" s="39" t="inlineStr">
        <x:is>
          <x:t xml:space="preserve">Pending</x:t>
        </x:is>
      </x:c>
      <x:c r="I16" s="39" t="inlineStr">
        <x:is>
          <x:t xml:space="preserve">Pending</x:t>
        </x:is>
      </x:c>
      <x:c r="L16" s="39" t="inlineStr">
        <x:is>
          <x:t xml:space="preserve">Pending</x:t>
        </x:is>
      </x:c>
      <x:c r="O16" s="39" t="inlineStr">
        <x:is>
          <x:t xml:space="preserve">VP4</x:t>
        </x:is>
      </x:c>
      <x:c r="Q16" s="43"/>
    </x:row>
    <x:row r="17" ht="18">
      <x:c r="A17" s="79" t="inlineStr">
        <x:is>
          <x:t xml:space="preserve">Quyền/trạng thái biên</x:t>
        </x:is>
      </x:c>
    </x:row>
    <x:row r="18" ht="105" customHeight="1">
      <x:c r="A18" s="39" t="inlineStr">
        <x:is>
          <x:t xml:space="preserve">IT02-005</x:t>
        </x:is>
      </x:c>
      <x:c r="B18" s="39" t="inlineStr">
        <x:is>
          <x:t xml:space="preserve">Sai loại token</x:t>
        </x:is>
      </x:c>
      <x:c r="C18" s="39" t="inlineStr">
        <x:is>
          <x:t xml:space="preserve">POST /refresh bằng access token.</x:t>
        </x:is>
      </x:c>
      <x:c r="D18" s="45" t="inlineStr">
        <x:is>
          <x:t xml:space="preserve">400; báo không phải refresh token.</x:t>
        </x:is>
      </x:c>
      <x:c r="E18" s="39" t="inlineStr">
        <x:is>
          <x:t xml:space="preserve">Có access token.</x:t>
        </x:is>
      </x:c>
      <x:c r="F18" s="39" t="inlineStr">
        <x:is>
          <x:t xml:space="preserve">Pending</x:t>
        </x:is>
      </x:c>
      <x:c r="I18" s="39" t="inlineStr">
        <x:is>
          <x:t xml:space="preserve">Pending</x:t>
        </x:is>
      </x:c>
      <x:c r="L18" s="39" t="inlineStr">
        <x:is>
          <x:t xml:space="preserve">Pending</x:t>
        </x:is>
      </x:c>
      <x:c r="O18" s="39" t="inlineStr">
        <x:is>
          <x:t xml:space="preserve">IP4</x:t>
        </x:is>
      </x:c>
    </x:row>
    <x:row r="19" s="44" customFormat="1" ht="105" customHeight="1">
      <x:c r="A19" s="39" t="inlineStr">
        <x:is>
          <x:t xml:space="preserve">IT02-006</x:t>
        </x:is>
      </x:c>
      <x:c r="B19" s="39" t="inlineStr">
        <x:is>
          <x:t xml:space="preserve">Thiếu xác thực</x:t>
        </x:is>
      </x:c>
      <x:c r="C19" s="39" t="inlineStr">
        <x:is>
          <x:t xml:space="preserve">GET /api/auth/me không Authorization.</x:t>
        </x:is>
      </x:c>
      <x:c r="D19" s="45" t="inlineStr">
        <x:is>
          <x:t xml:space="preserve">401/403; không lộ dữ liệu account.</x:t>
        </x:is>
      </x:c>
      <x:c r="E19" s="39" t="inlineStr">
        <x:is>
          <x:t xml:space="preserve">Không đăng nhập.</x:t>
        </x:is>
      </x:c>
      <x:c r="F19" s="39" t="inlineStr">
        <x:is>
          <x:t xml:space="preserve">Pending</x:t>
        </x:is>
      </x:c>
      <x:c r="I19" s="39" t="inlineStr">
        <x:is>
          <x:t xml:space="preserve">Pending</x:t>
        </x:is>
      </x:c>
      <x:c r="L19" s="39" t="inlineStr">
        <x:is>
          <x:t xml:space="preserve">Pending</x:t>
        </x:is>
      </x:c>
      <x:c r="O19" s="39" t="inlineStr">
        <x:is>
          <x:t xml:space="preserve">IP5</x:t>
        </x:is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bc0e2ffb82e04270"/>
</x:worksheet>
</file>

<file path=xl/worksheets/sheet17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inlineStr">
        <x:is>
          <x:t xml:space="preserve">Test Condition Analysis</x:t>
        </x:is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inlineStr">
        <x:is>
          <x:t xml:space="preserve">Condition</x:t>
        </x:is>
      </x:c>
      <x:c r="B2" s="83" t="inlineStr">
        <x:is>
          <x:t xml:space="preserve">Valid Partitions</x:t>
        </x:is>
      </x:c>
      <x:c r="C2" s="83" t="inlineStr">
        <x:is>
          <x:t xml:space="preserve">Tag</x:t>
        </x:is>
      </x:c>
      <x:c r="D2" s="83" t="inlineStr">
        <x:is>
          <x:t xml:space="preserve">Invalid Partitions</x:t>
        </x:is>
      </x:c>
      <x:c r="E2" s="83" t="inlineStr">
        <x:is>
          <x:t xml:space="preserve">Tag</x:t>
        </x:is>
      </x:c>
      <x:c r="F2" s="83" t="inlineStr">
        <x:is>
          <x:t xml:space="preserve">Valid Boundaries</x:t>
        </x:is>
      </x:c>
      <x:c r="G2" s="83" t="inlineStr">
        <x:is>
          <x:t xml:space="preserve">Tag</x:t>
        </x:is>
      </x:c>
      <x:c r="H2" s="83" t="inlineStr">
        <x:is>
          <x:t xml:space="preserve">Invalid Boundaries</x:t>
        </x:is>
      </x:c>
      <x:c r="I2" s="83" t="inlineStr">
        <x:is>
          <x:t xml:space="preserve">Tag</x:t>
        </x:is>
      </x:c>
    </x:row>
    <x:row r="3" ht="42" customHeight="1">
      <x:c r="A3" s="130" t="inlineStr">
        <x:is>
          <x:t xml:space="preserve">profile/account</x:t>
        </x:is>
      </x:c>
      <x:c r="B3" s="129" t="inlineStr">
        <x:is>
          <x:t xml:space="preserve">Profile thuộc account hiện tại</x:t>
        </x:is>
      </x:c>
      <x:c r="C3" s="129" t="inlineStr">
        <x:is>
          <x:t xml:space="preserve">VP1</x:t>
        </x:is>
      </x:c>
      <x:c r="D3" s="129" t="inlineStr">
        <x:is>
          <x:t xml:space="preserve">Không tồn tại/sai chủ</x:t>
        </x:is>
      </x:c>
      <x:c r="E3" s="129" t="inlineStr">
        <x:is>
          <x:t xml:space="preserve">IP1</x:t>
        </x:is>
      </x:c>
      <x:c r="F3" s="129" t="inlineStr">
        <x:is>
          <x:t xml:space="preserve">N/A</x:t>
        </x:is>
      </x:c>
      <x:c r="G3" s="129" t="inlineStr">
        <x:is>
          <x:t xml:space="preserve">VB1</x:t>
        </x:is>
      </x:c>
      <x:c r="H3" s="129" t="inlineStr">
        <x:is>
          <x:t xml:space="preserve">Null</x:t>
        </x:is>
      </x:c>
      <x:c r="I3" s="129" t="inlineStr">
        <x:is>
          <x:t xml:space="preserve">IB1</x:t>
        </x:is>
      </x:c>
    </x:row>
    <x:row r="4" ht="42" customHeight="1">
      <x:c r="A4" s="130" t="inlineStr">
        <x:is>
          <x:t xml:space="preserve">fullName</x:t>
        </x:is>
      </x:c>
      <x:c r="B4" s="129" t="inlineStr">
        <x:is>
          <x:t xml:space="preserve">Không rỗng, dữ liệu hợp lệ</x:t>
        </x:is>
      </x:c>
      <x:c r="C4" s="129" t="inlineStr">
        <x:is>
          <x:t xml:space="preserve">VP2</x:t>
        </x:is>
      </x:c>
      <x:c r="D4" s="129" t="inlineStr">
        <x:is>
          <x:t xml:space="preserve">Rỗng/chỉ khoảng trắng</x:t>
        </x:is>
      </x:c>
      <x:c r="E4" s="129" t="inlineStr">
        <x:is>
          <x:t xml:space="preserve">IP2</x:t>
        </x:is>
      </x:c>
      <x:c r="F4" s="129" t="inlineStr">
        <x:is>
          <x:t xml:space="preserve">1 ký tự</x:t>
        </x:is>
      </x:c>
      <x:c r="G4" s="129" t="inlineStr">
        <x:is>
          <x:t xml:space="preserve">VB2</x:t>
        </x:is>
      </x:c>
      <x:c r="H4" s="129" t="inlineStr">
        <x:is>
          <x:t xml:space="preserve">0 ký tự</x:t>
        </x:is>
      </x:c>
      <x:c r="I4" s="129" t="inlineStr">
        <x:is>
          <x:t xml:space="preserve">IB2</x:t>
        </x:is>
      </x:c>
    </x:row>
    <x:row r="5" ht="42" customHeight="1">
      <x:c r="A5" s="130" t="inlineStr">
        <x:is>
          <x:t xml:space="preserve">phone/email</x:t>
        </x:is>
      </x:c>
      <x:c r="B5" s="129" t="inlineStr">
        <x:is>
          <x:t xml:space="preserve">Đúng định dạng và chưa trùng</x:t>
        </x:is>
      </x:c>
      <x:c r="C5" s="129" t="inlineStr">
        <x:is>
          <x:t xml:space="preserve">VP3</x:t>
        </x:is>
      </x:c>
      <x:c r="D5" s="129" t="inlineStr">
        <x:is>
          <x:t xml:space="preserve">Sai định dạng/trùng</x:t>
        </x:is>
      </x:c>
      <x:c r="E5" s="129" t="inlineStr">
        <x:is>
          <x:t xml:space="preserve">IP3</x:t>
        </x:is>
      </x:c>
      <x:c r="F5" s="129" t="inlineStr">
        <x:is>
          <x:t xml:space="preserve">Chuỗi ngắn hợp lệ</x:t>
        </x:is>
      </x:c>
      <x:c r="G5" s="129" t="inlineStr">
        <x:is>
          <x:t xml:space="preserve">VB3</x:t>
        </x:is>
      </x:c>
      <x:c r="H5" s="129" t="inlineStr">
        <x:is>
          <x:t xml:space="preserve">Thiếu chữ số/domain</x:t>
        </x:is>
      </x:c>
      <x:c r="I5" s="129" t="inlineStr">
        <x:is>
          <x:t xml:space="preserve">IB3</x:t>
        </x:is>
      </x:c>
    </x:row>
    <x:row r="6" ht="42" customHeight="1">
      <x:c r="A6" s="130" t="inlineStr">
        <x:is>
          <x:t xml:space="preserve">dob</x:t>
        </x:is>
      </x:c>
      <x:c r="B6" s="129" t="inlineStr">
        <x:is>
          <x:t xml:space="preserve">Không tương lai, tuổi hợp lệ</x:t>
        </x:is>
      </x:c>
      <x:c r="C6" s="129" t="inlineStr">
        <x:is>
          <x:t xml:space="preserve">VP4</x:t>
        </x:is>
      </x:c>
      <x:c r="D6" s="129" t="inlineStr">
        <x:is>
          <x:t xml:space="preserve">Tương lai/quá 150 tuổi</x:t>
        </x:is>
      </x:c>
      <x:c r="E6" s="129" t="inlineStr">
        <x:is>
          <x:t xml:space="preserve">IP4</x:t>
        </x:is>
      </x:c>
      <x:c r="F6" s="129" t="inlineStr">
        <x:is>
          <x:t xml:space="preserve">Hôm nay/150 tuổi</x:t>
        </x:is>
      </x:c>
      <x:c r="G6" s="129" t="inlineStr">
        <x:is>
          <x:t xml:space="preserve">VB4</x:t>
        </x:is>
      </x:c>
      <x:c r="H6" s="129" t="inlineStr">
        <x:is>
          <x:t xml:space="preserve">Ngày mai/151 tuổi</x:t>
        </x:is>
      </x:c>
      <x:c r="I6" s="129" t="inlineStr">
        <x:is>
          <x:t xml:space="preserve">IB4</x:t>
        </x:is>
      </x:c>
    </x:row>
    <x:row r="7" ht="42" customHeight="1">
      <x:c r="A7" s="130" t="inlineStr">
        <x:is>
          <x:t xml:space="preserve">gender</x:t>
        </x:is>
      </x:c>
      <x:c r="B7" s="129" t="inlineStr">
        <x:is>
          <x:t xml:space="preserve">Enum hợp lệ</x:t>
        </x:is>
      </x:c>
      <x:c r="C7" s="129" t="inlineStr">
        <x:is>
          <x:t xml:space="preserve">VP5</x:t>
        </x:is>
      </x:c>
      <x:c r="D7" s="129" t="inlineStr">
        <x:is>
          <x:t xml:space="preserve">Giá trị ngoài enum</x:t>
        </x:is>
      </x:c>
      <x:c r="E7" s="129" t="inlineStr">
        <x:is>
          <x:t xml:space="preserve">IP5</x:t>
        </x:is>
      </x:c>
      <x:c r="F7" s="129" t="inlineStr">
        <x:is>
          <x:t xml:space="preserve">N/A</x:t>
        </x:is>
      </x:c>
      <x:c r="G7" s="129" t="inlineStr">
        <x:is>
          <x:t xml:space="preserve">VB5</x:t>
        </x:is>
      </x:c>
      <x:c r="H7" s="129" t="inlineStr">
        <x:is>
          <x:t xml:space="preserve">Null khi bắt buộc</x:t>
        </x:is>
      </x:c>
      <x:c r="I7" s="129" t="inlineStr">
        <x:is>
          <x:t xml:space="preserve">IB5</x:t>
        </x:is>
      </x:c>
    </x:row>
    <x:row r="8" ht="42" customHeight="1">
      <x:c r="A8" s="130" t="inlineStr">
        <x:is>
          <x:t xml:space="preserve">BHXH</x:t>
        </x:is>
      </x:c>
      <x:c r="B8" s="129" t="inlineStr">
        <x:is>
          <x:t xml:space="preserve">Mã tồn tại hoặc không khai báo</x:t>
        </x:is>
      </x:c>
      <x:c r="C8" s="129" t="inlineStr">
        <x:is>
          <x:t xml:space="preserve">VP6</x:t>
        </x:is>
      </x:c>
      <x:c r="D8" s="129" t="inlineStr">
        <x:is>
          <x:t xml:space="preserve">Mã sai/không khớp</x:t>
        </x:is>
      </x:c>
      <x:c r="E8" s="129" t="inlineStr">
        <x:is>
          <x:t xml:space="preserve">IP6</x:t>
        </x:is>
      </x:c>
      <x:c r="F8" s="129" t="inlineStr">
        <x:is>
          <x:t xml:space="preserve">N/A</x:t>
        </x:is>
      </x:c>
      <x:c r="G8" s="129" t="inlineStr">
        <x:is>
          <x:t xml:space="preserve">VB6</x:t>
        </x:is>
      </x:c>
      <x:c r="H8" s="129" t="inlineStr">
        <x:is>
          <x:t xml:space="preserve">Rỗng không hợp lệ</x:t>
        </x:is>
      </x:c>
      <x:c r="I8" s="129" t="inlineStr">
        <x:is>
          <x:t xml:space="preserve">IB6</x:t>
        </x:is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inlineStr">
        <x:is>
          <x:t xml:space="preserve">* Notes:</x:t>
        </x:is>
      </x:c>
      <x:c r="B27" s="141" t="inlineStr">
        <x:is>
          <x:t xml:space="preserve">Đối chiếu tag VP/IP/VB/IB với Test Design.</x:t>
        </x:is>
      </x:c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inlineStr">
        <x:is>
          <x:t xml:space="preserve">Test case design</x:t>
        </x:is>
      </x:c>
      <x:c r="B1" s="172"/>
      <x:c r="C1" s="172"/>
      <x:c r="D1" s="172"/>
    </x:row>
    <x:row r="2" ht="25.5">
      <x:c r="A2" s="83" t="inlineStr">
        <x:is>
          <x:t xml:space="preserve">Test-case No</x:t>
        </x:is>
      </x:c>
      <x:c r="B2" s="83" t="inlineStr">
        <x:is>
          <x:t xml:space="preserve">Description</x:t>
        </x:is>
      </x:c>
      <x:c r="C2" s="83" t="inlineStr">
        <x:is>
          <x:t xml:space="preserve">Expected result</x:t>
        </x:is>
      </x:c>
      <x:c r="D2" s="83" t="inlineStr">
        <x:is>
          <x:t xml:space="preserve">TAG</x:t>
        </x:is>
      </x:c>
    </x:row>
    <x:row r="3" ht="82" customHeight="1">
      <x:c r="A3" s="152">
        <x:v>1</x:v>
      </x:c>
      <x:c r="B3" s="151" t="inlineStr">
        <x:is>
          <x:t xml:space="preserve">Xem hồ sơ của account hiện tại.</x:t>
        </x:is>
      </x:c>
      <x:c r="C3" s="151" t="inlineStr">
        <x:is>
          <x:t xml:space="preserve">200; trả đúng Profile.</x:t>
        </x:is>
      </x:c>
      <x:c r="D3" s="151" t="inlineStr">
        <x:is>
          <x:t xml:space="preserve">VP1</x:t>
        </x:is>
      </x:c>
    </x:row>
    <x:row r="4" ht="82" customHeight="1">
      <x:c r="A4" s="152">
        <x:v>2</x:v>
      </x:c>
      <x:c r="B4" s="151" t="inlineStr">
        <x:is>
          <x:t xml:space="preserve">Cập nhật tên/SĐT/email hợp lệ.</x:t>
        </x:is>
      </x:c>
      <x:c r="C4" s="151" t="inlineStr">
        <x:is>
          <x:t xml:space="preserve">200; Profile được cập nhật, Account không đổi.</x:t>
        </x:is>
      </x:c>
      <x:c r="D4" s="151" t="inlineStr">
        <x:is>
          <x:t xml:space="preserve">VP2,VP3</x:t>
        </x:is>
      </x:c>
    </x:row>
    <x:row r="5" ht="82" customHeight="1">
      <x:c r="A5" s="152">
        <x:v>3</x:v>
      </x:c>
      <x:c r="B5" s="151" t="inlineStr">
        <x:is>
          <x:t xml:space="preserve">Cập nhật ngày sinh tương lai.</x:t>
        </x:is>
      </x:c>
      <x:c r="C5" s="151" t="inlineStr">
        <x:is>
          <x:t xml:space="preserve">400; không lưu.</x:t>
        </x:is>
      </x:c>
      <x:c r="D5" s="151" t="inlineStr">
        <x:is>
          <x:t xml:space="preserve">IP4,IB4</x:t>
        </x:is>
      </x:c>
    </x:row>
    <x:row r="6" ht="82" customHeight="1">
      <x:c r="A6" s="152">
        <x:v>4</x:v>
      </x:c>
      <x:c r="B6" s="151" t="inlineStr">
        <x:is>
          <x:t xml:space="preserve">Dùng email/SĐT đã thuộc profile khác.</x:t>
        </x:is>
      </x:c>
      <x:c r="C6" s="151" t="inlineStr">
        <x:is>
          <x:t xml:space="preserve">409/400; không ghi đè.</x:t>
        </x:is>
      </x:c>
      <x:c r="D6" s="151" t="inlineStr">
        <x:is>
          <x:t xml:space="preserve">IP3</x:t>
        </x:is>
      </x:c>
    </x:row>
    <x:row r="7" ht="82" customHeight="1">
      <x:c r="A7" s="152">
        <x:v>5</x:v>
      </x:c>
      <x:c r="B7" s="151" t="inlineStr">
        <x:is>
          <x:t xml:space="preserve">Truy cập profile người khác không đủ quyền.</x:t>
        </x:is>
      </x:c>
      <x:c r="C7" s="151" t="inlineStr">
        <x:is>
          <x:t xml:space="preserve">403; không lộ dữ liệu.</x:t>
        </x:is>
      </x:c>
      <x:c r="D7" s="151" t="inlineStr">
        <x:is>
          <x:t xml:space="preserve">IP1</x:t>
        </x:is>
      </x:c>
    </x:row>
    <x:row r="8" ht="82" customHeight="1">
      <x:c r="A8" s="152">
        <x:v>6</x:v>
      </x:c>
      <x:c r="B8" s="151" t="inlineStr">
        <x:is>
          <x:t xml:space="preserve">Kiểm tra BHXH hợp lệ qua service tích hợp.</x:t>
        </x:is>
      </x:c>
      <x:c r="C8" s="151" t="inlineStr">
        <x:is>
          <x:t xml:space="preserve">200; trả quyền lợi/thông tin phù hợp.</x:t>
        </x:is>
      </x:c>
      <x:c r="D8" s="151" t="inlineStr">
        <x:is>
          <x:t xml:space="preserve">VP6</x:t>
        </x:is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inlineStr">
        <x:is>
          <x:t xml:space="preserve">IT03 - Hồ sơ cá nhân</x:t>
        </x:is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inlineStr">
        <x:is>
          <x:t xml:space="preserve">Account -&gt; Profile -&gt; lịch sử guest/BHXH.</x:t>
        </x:is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f>COUNTIF(A12:A1000,"IT*")</x:f>
        <x:v>0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inlineStr">
        <x:is>
          <x:t xml:space="preserve">Test Case ID</x:t>
        </x:is>
      </x:c>
      <x:c r="B10" s="83" t="inlineStr">
        <x:is>
          <x:t xml:space="preserve">Test Case Description</x:t>
        </x:is>
      </x:c>
      <x:c r="C10" s="83" t="inlineStr">
        <x:is>
          <x:t xml:space="preserve">Test Case Procedure</x:t>
        </x:is>
      </x:c>
      <x:c r="D10" s="83" t="inlineStr">
        <x:is>
          <x:t xml:space="preserve">Expected Results</x:t>
        </x:is>
      </x:c>
      <x:c r="E10" s="83" t="inlineStr">
        <x:is>
          <x:t xml:space="preserve">Pre-conditions</x:t>
        </x:is>
      </x:c>
      <x:c r="F10" s="83" t="inlineStr">
        <x:is>
          <x:t xml:space="preserve">Round 1</x:t>
        </x:is>
      </x:c>
      <x:c r="G10" s="83" t="inlineStr">
        <x:is>
          <x:t xml:space="preserve">Test date</x:t>
        </x:is>
      </x:c>
      <x:c r="H10" s="83" t="inlineStr">
        <x:is>
          <x:t xml:space="preserve">Tester</x:t>
        </x:is>
      </x:c>
      <x:c r="I10" s="83" t="inlineStr">
        <x:is>
          <x:t xml:space="preserve">Round 2</x:t>
        </x:is>
      </x:c>
      <x:c r="J10" s="83" t="inlineStr">
        <x:is>
          <x:t xml:space="preserve">Test date</x:t>
        </x:is>
      </x:c>
      <x:c r="K10" s="83" t="inlineStr">
        <x:is>
          <x:t xml:space="preserve">Tester</x:t>
        </x:is>
      </x:c>
      <x:c r="L10" s="83" t="inlineStr">
        <x:is>
          <x:t xml:space="preserve">Round 3</x:t>
        </x:is>
      </x:c>
      <x:c r="M10" s="83" t="inlineStr">
        <x:is>
          <x:t xml:space="preserve">Test date</x:t>
        </x:is>
      </x:c>
      <x:c r="N10" s="83" t="inlineStr">
        <x:is>
          <x:t xml:space="preserve">Tester</x:t>
        </x:is>
      </x:c>
      <x:c r="O10" s="83" t="inlineStr">
        <x:is>
          <x:t xml:space="preserve">Note</x:t>
        </x:is>
      </x:c>
      <x:c r="Q10" s="34"/>
    </x:row>
    <x:row r="11" s="30" customFormat="1" ht="18" customHeight="1">
      <x:c r="A11" s="79" t="inlineStr">
        <x:is>
          <x:t xml:space="preserve">Luồng hợp lệ</x:t>
        </x:is>
      </x:c>
      <x:c r="Q11" s="38"/>
    </x:row>
    <x:row r="12" s="44" customFormat="1" ht="105" customHeight="1">
      <x:c r="A12" s="39" t="inlineStr">
        <x:is>
          <x:t xml:space="preserve">IT03-001</x:t>
        </x:is>
      </x:c>
      <x:c r="B12" s="39" t="inlineStr">
        <x:is>
          <x:t xml:space="preserve">Xem hồ sơ cá nhân</x:t>
        </x:is>
      </x:c>
      <x:c r="C12" s="39" t="inlineStr">
        <x:is>
          <x:t xml:space="preserve">GET /api/v1/profiles/me bằng CUSTOMER.</x:t>
        </x:is>
      </x:c>
      <x:c r="D12" s="45" t="inlineStr">
        <x:is>
          <x:t xml:space="preserve">200; profileId/accountId đúng token.</x:t>
        </x:is>
      </x:c>
      <x:c r="E12" s="39" t="inlineStr">
        <x:is>
          <x:t xml:space="preserve">Customer đã đăng nhập.</x:t>
        </x:is>
      </x:c>
      <x:c r="F12" s="39" t="inlineStr">
        <x:is>
          <x:t xml:space="preserve">Pending</x:t>
        </x:is>
      </x:c>
      <x:c r="I12" s="39" t="inlineStr">
        <x:is>
          <x:t xml:space="preserve">Pending</x:t>
        </x:is>
      </x:c>
      <x:c r="L12" s="39" t="inlineStr">
        <x:is>
          <x:t xml:space="preserve">Pending</x:t>
        </x:is>
      </x:c>
      <x:c r="O12" s="39" t="inlineStr">
        <x:is>
          <x:t xml:space="preserve">VP1</x:t>
        </x:is>
      </x:c>
      <x:c r="Q12" s="43"/>
    </x:row>
    <x:row r="13" ht="105" customHeight="1">
      <x:c r="A13" s="39" t="inlineStr">
        <x:is>
          <x:t xml:space="preserve">IT03-002</x:t>
        </x:is>
      </x:c>
      <x:c r="B13" s="39" t="inlineStr">
        <x:is>
          <x:t xml:space="preserve">Cập nhật hồ sơ hợp lệ</x:t>
        </x:is>
      </x:c>
      <x:c r="C13" s="39" t="inlineStr">
        <x:is>
          <x:t xml:space="preserve">PUT /api/v1/profiles/me với fullName, phone, email.</x:t>
        </x:is>
      </x:c>
      <x:c r="D13" s="45" t="inlineStr">
        <x:is>
          <x:t xml:space="preserve">200; DB cập nhật đúng một Profile.</x:t>
        </x:is>
      </x:c>
      <x:c r="E13" s="39" t="inlineStr">
        <x:is>
          <x:t xml:space="preserve">Profile hiện hữu.</x:t>
        </x:is>
      </x:c>
      <x:c r="F13" s="39" t="inlineStr">
        <x:is>
          <x:t xml:space="preserve">Pending</x:t>
        </x:is>
      </x:c>
      <x:c r="I13" s="39" t="inlineStr">
        <x:is>
          <x:t xml:space="preserve">Pending</x:t>
        </x:is>
      </x:c>
      <x:c r="L13" s="39" t="inlineStr">
        <x:is>
          <x:t xml:space="preserve">Pending</x:t>
        </x:is>
      </x:c>
      <x:c r="O13" s="39" t="inlineStr">
        <x:is>
          <x:t xml:space="preserve">VP2,VP3</x:t>
        </x:is>
      </x:c>
      <x:c r="Q13" s="43"/>
    </x:row>
    <x:row r="14" ht="18" customHeight="1">
      <x:c r="A14" s="79" t="inlineStr">
        <x:is>
          <x:t xml:space="preserve">Validation nghiệp vụ</x:t>
        </x:is>
      </x:c>
      <x:c r="Q14" s="43"/>
    </x:row>
    <x:row r="15" s="30" customFormat="1" ht="105" customHeight="1">
      <x:c r="A15" s="39" t="inlineStr">
        <x:is>
          <x:t xml:space="preserve">IT03-003</x:t>
        </x:is>
      </x:c>
      <x:c r="B15" s="39" t="inlineStr">
        <x:is>
          <x:t xml:space="preserve">Ngày sinh tương lai</x:t>
        </x:is>
      </x:c>
      <x:c r="C15" s="39" t="inlineStr">
        <x:is>
          <x:t xml:space="preserve">PUT /profiles/me với dob ngày mai.</x:t>
        </x:is>
      </x:c>
      <x:c r="D15" s="45" t="inlineStr">
        <x:is>
          <x:t xml:space="preserve">400; DB giữ ngày sinh cũ.</x:t>
        </x:is>
      </x:c>
      <x:c r="E15" s="39" t="inlineStr">
        <x:is>
          <x:t xml:space="preserve">Profile hiện hữu.</x:t>
        </x:is>
      </x:c>
      <x:c r="F15" s="39" t="inlineStr">
        <x:is>
          <x:t xml:space="preserve">Pending</x:t>
        </x:is>
      </x:c>
      <x:c r="I15" s="39" t="inlineStr">
        <x:is>
          <x:t xml:space="preserve">Pending</x:t>
        </x:is>
      </x:c>
      <x:c r="L15" s="39" t="inlineStr">
        <x:is>
          <x:t xml:space="preserve">Pending</x:t>
        </x:is>
      </x:c>
      <x:c r="O15" s="39" t="inlineStr">
        <x:is>
          <x:t xml:space="preserve">IP4,IB4</x:t>
        </x:is>
      </x:c>
      <x:c r="Q15" s="38"/>
    </x:row>
    <x:row r="16" ht="105" customHeight="1">
      <x:c r="A16" s="39" t="inlineStr">
        <x:is>
          <x:t xml:space="preserve">IT03-004</x:t>
        </x:is>
      </x:c>
      <x:c r="B16" s="39" t="inlineStr">
        <x:is>
          <x:t xml:space="preserve">Email trùng</x:t>
        </x:is>
      </x:c>
      <x:c r="C16" s="39" t="inlineStr">
        <x:is>
          <x:t xml:space="preserve">Cập nhật email đã thuộc Profile khác.</x:t>
        </x:is>
      </x:c>
      <x:c r="D16" s="45" t="inlineStr">
        <x:is>
          <x:t xml:space="preserve">409/400; không thay đổi liên kết.</x:t>
        </x:is>
      </x:c>
      <x:c r="E16" s="39" t="inlineStr">
        <x:is>
          <x:t xml:space="preserve">Có profile khác dùng email.</x:t>
        </x:is>
      </x:c>
      <x:c r="F16" s="39" t="inlineStr">
        <x:is>
          <x:t xml:space="preserve">Pending</x:t>
        </x:is>
      </x:c>
      <x:c r="I16" s="39" t="inlineStr">
        <x:is>
          <x:t xml:space="preserve">Pending</x:t>
        </x:is>
      </x:c>
      <x:c r="L16" s="39" t="inlineStr">
        <x:is>
          <x:t xml:space="preserve">Pending</x:t>
        </x:is>
      </x:c>
      <x:c r="O16" s="39" t="inlineStr">
        <x:is>
          <x:t xml:space="preserve">IP3</x:t>
        </x:is>
      </x:c>
      <x:c r="Q16" s="43"/>
    </x:row>
    <x:row r="17" ht="18">
      <x:c r="A17" s="79" t="inlineStr">
        <x:is>
          <x:t xml:space="preserve">Quyền/trạng thái biên</x:t>
        </x:is>
      </x:c>
    </x:row>
    <x:row r="18" ht="105" customHeight="1">
      <x:c r="A18" s="39" t="inlineStr">
        <x:is>
          <x:t xml:space="preserve">IT03-005</x:t>
        </x:is>
      </x:c>
      <x:c r="B18" s="39" t="inlineStr">
        <x:is>
          <x:t xml:space="preserve">Sai quyền truy cập</x:t>
        </x:is>
      </x:c>
      <x:c r="C18" s="39" t="inlineStr">
        <x:is>
          <x:t xml:space="preserve">CUSTOMER GET /profiles/{id} của người khác.</x:t>
        </x:is>
      </x:c>
      <x:c r="D18" s="45" t="inlineStr">
        <x:is>
          <x:t xml:space="preserve">403; không trả dữ liệu nhạy cảm.</x:t>
        </x:is>
      </x:c>
      <x:c r="E18" s="39" t="inlineStr">
        <x:is>
          <x:t xml:space="preserve">Hai customer khác nhau.</x:t>
        </x:is>
      </x:c>
      <x:c r="F18" s="39" t="inlineStr">
        <x:is>
          <x:t xml:space="preserve">Pending</x:t>
        </x:is>
      </x:c>
      <x:c r="I18" s="39" t="inlineStr">
        <x:is>
          <x:t xml:space="preserve">Pending</x:t>
        </x:is>
      </x:c>
      <x:c r="L18" s="39" t="inlineStr">
        <x:is>
          <x:t xml:space="preserve">Pending</x:t>
        </x:is>
      </x:c>
      <x:c r="O18" s="39" t="inlineStr">
        <x:is>
          <x:t xml:space="preserve">IP1</x:t>
        </x:is>
      </x:c>
    </x:row>
    <x:row r="19" s="44" customFormat="1" ht="105" customHeight="1">
      <x:c r="A19" s="39" t="inlineStr">
        <x:is>
          <x:t xml:space="preserve">IT03-006</x:t>
        </x:is>
      </x:c>
      <x:c r="B19" s="39" t="inlineStr">
        <x:is>
          <x:t xml:space="preserve">Tra cứu BHXH</x:t>
        </x:is>
      </x:c>
      <x:c r="C19" s="39" t="inlineStr">
        <x:is>
          <x:t xml:space="preserve">GET /api/v1/bhxh/check với mã hợp lệ.</x:t>
        </x:is>
      </x:c>
      <x:c r="D19" s="45" t="inlineStr">
        <x:is>
          <x:t xml:space="preserve">200; dữ liệu từ mock BHXH được ánh xạ đúng.</x:t>
        </x:is>
      </x:c>
      <x:c r="E19" s="39" t="inlineStr">
        <x:is>
          <x:t xml:space="preserve">Mock BHXH chạy.</x:t>
        </x:is>
      </x:c>
      <x:c r="F19" s="39" t="inlineStr">
        <x:is>
          <x:t xml:space="preserve">Pending</x:t>
        </x:is>
      </x:c>
      <x:c r="I19" s="39" t="inlineStr">
        <x:is>
          <x:t xml:space="preserve">Pending</x:t>
        </x:is>
      </x:c>
      <x:c r="L19" s="39" t="inlineStr">
        <x:is>
          <x:t xml:space="preserve">Pending</x:t>
        </x:is>
      </x:c>
      <x:c r="O19" s="39" t="inlineStr">
        <x:is>
          <x:t xml:space="preserve">VP6</x:t>
        </x:is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570b79affd42453a"/>
</x:worksheet>
</file>

<file path=xl/worksheets/sheet20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inlineStr">
        <x:is>
          <x:t xml:space="preserve">Test Condition Analysis</x:t>
        </x:is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inlineStr">
        <x:is>
          <x:t xml:space="preserve">Condition</x:t>
        </x:is>
      </x:c>
      <x:c r="B2" s="83" t="inlineStr">
        <x:is>
          <x:t xml:space="preserve">Valid Partitions</x:t>
        </x:is>
      </x:c>
      <x:c r="C2" s="83" t="inlineStr">
        <x:is>
          <x:t xml:space="preserve">Tag</x:t>
        </x:is>
      </x:c>
      <x:c r="D2" s="83" t="inlineStr">
        <x:is>
          <x:t xml:space="preserve">Invalid Partitions</x:t>
        </x:is>
      </x:c>
      <x:c r="E2" s="83" t="inlineStr">
        <x:is>
          <x:t xml:space="preserve">Tag</x:t>
        </x:is>
      </x:c>
      <x:c r="F2" s="83" t="inlineStr">
        <x:is>
          <x:t xml:space="preserve">Valid Boundaries</x:t>
        </x:is>
      </x:c>
      <x:c r="G2" s="83" t="inlineStr">
        <x:is>
          <x:t xml:space="preserve">Tag</x:t>
        </x:is>
      </x:c>
      <x:c r="H2" s="83" t="inlineStr">
        <x:is>
          <x:t xml:space="preserve">Invalid Boundaries</x:t>
        </x:is>
      </x:c>
      <x:c r="I2" s="83" t="inlineStr">
        <x:is>
          <x:t xml:space="preserve">Tag</x:t>
        </x:is>
      </x:c>
    </x:row>
    <x:row r="3" ht="42" customHeight="1">
      <x:c r="A3" s="130" t="inlineStr">
        <x:is>
          <x:t xml:space="preserve">invoice</x:t>
        </x:is>
      </x:c>
      <x:c r="B3" s="129" t="inlineStr">
        <x:is>
          <x:t xml:space="preserve">PENDING, tồn tại</x:t>
        </x:is>
      </x:c>
      <x:c r="C3" s="129" t="inlineStr">
        <x:is>
          <x:t xml:space="preserve">VP1</x:t>
        </x:is>
      </x:c>
      <x:c r="D3" s="129" t="inlineStr">
        <x:is>
          <x:t xml:space="preserve">Không tồn tại/PAID/CANCELLED</x:t>
        </x:is>
      </x:c>
      <x:c r="E3" s="129" t="inlineStr">
        <x:is>
          <x:t xml:space="preserve">IP1</x:t>
        </x:is>
      </x:c>
      <x:c r="F3" s="129" t="inlineStr">
        <x:is>
          <x:t xml:space="preserve">N/A</x:t>
        </x:is>
      </x:c>
      <x:c r="G3" s="129" t="inlineStr">
        <x:is>
          <x:t xml:space="preserve">VB1</x:t>
        </x:is>
      </x:c>
      <x:c r="H3" s="129" t="inlineStr">
        <x:is>
          <x:t xml:space="preserve">Null</x:t>
        </x:is>
      </x:c>
      <x:c r="I3" s="129" t="inlineStr">
        <x:is>
          <x:t xml:space="preserve">IB1</x:t>
        </x:is>
      </x:c>
    </x:row>
    <x:row r="4" ht="42" customHeight="1">
      <x:c r="A4" s="130" t="inlineStr">
        <x:is>
          <x:t xml:space="preserve">payment method</x:t>
        </x:is>
      </x:c>
      <x:c r="B4" s="129" t="inlineStr">
        <x:is>
          <x:t xml:space="preserve">Enum hợp lệ</x:t>
        </x:is>
      </x:c>
      <x:c r="C4" s="129" t="inlineStr">
        <x:is>
          <x:t xml:space="preserve">VP2</x:t>
        </x:is>
      </x:c>
      <x:c r="D4" s="129" t="inlineStr">
        <x:is>
          <x:t xml:space="preserve">Ngoài enum/rỗng</x:t>
        </x:is>
      </x:c>
      <x:c r="E4" s="129" t="inlineStr">
        <x:is>
          <x:t xml:space="preserve">IP2</x:t>
        </x:is>
      </x:c>
      <x:c r="F4" s="129" t="inlineStr">
        <x:is>
          <x:t xml:space="preserve">N/A</x:t>
        </x:is>
      </x:c>
      <x:c r="G4" s="129" t="inlineStr">
        <x:is>
          <x:t xml:space="preserve">VB2</x:t>
        </x:is>
      </x:c>
      <x:c r="H4" s="129" t="inlineStr">
        <x:is>
          <x:t xml:space="preserve">Null</x:t>
        </x:is>
      </x:c>
      <x:c r="I4" s="129" t="inlineStr">
        <x:is>
          <x:t xml:space="preserve">IB2</x:t>
        </x:is>
      </x:c>
    </x:row>
    <x:row r="5" ht="42" customHeight="1">
      <x:c r="A5" s="130" t="inlineStr">
        <x:is>
          <x:t xml:space="preserve">amount</x:t>
        </x:is>
      </x:c>
      <x:c r="B5" s="129" t="inlineStr">
        <x:is>
          <x:t xml:space="preserve">Đủ tổng hóa đơn</x:t>
        </x:is>
      </x:c>
      <x:c r="C5" s="129" t="inlineStr">
        <x:is>
          <x:t xml:space="preserve">VP3</x:t>
        </x:is>
      </x:c>
      <x:c r="D5" s="129" t="inlineStr">
        <x:is>
          <x:t xml:space="preserve">Thiếu/âm</x:t>
        </x:is>
      </x:c>
      <x:c r="E5" s="129" t="inlineStr">
        <x:is>
          <x:t xml:space="preserve">IP3</x:t>
        </x:is>
      </x:c>
      <x:c r="F5" s="129" t="inlineStr">
        <x:is>
          <x:t xml:space="preserve">Bằng tổng</x:t>
        </x:is>
      </x:c>
      <x:c r="G5" s="129" t="inlineStr">
        <x:is>
          <x:t xml:space="preserve">VB3</x:t>
        </x:is>
      </x:c>
      <x:c r="H5" s="129" t="inlineStr">
        <x:is>
          <x:t xml:space="preserve">Tổng-1</x:t>
        </x:is>
      </x:c>
      <x:c r="I5" s="129" t="inlineStr">
        <x:is>
          <x:t xml:space="preserve">IB3</x:t>
        </x:is>
      </x:c>
    </x:row>
    <x:row r="6" ht="42" customHeight="1">
      <x:c r="A6" s="130" t="inlineStr">
        <x:is>
          <x:t xml:space="preserve">insurance</x:t>
        </x:is>
      </x:c>
      <x:c r="B6" s="129" t="inlineStr">
        <x:is>
          <x:t xml:space="preserve">Thông tin hợp lệ</x:t>
        </x:is>
      </x:c>
      <x:c r="C6" s="129" t="inlineStr">
        <x:is>
          <x:t xml:space="preserve">VP4</x:t>
        </x:is>
      </x:c>
      <x:c r="D6" s="129" t="inlineStr">
        <x:is>
          <x:t xml:space="preserve">Sai/không đủ điều kiện</x:t>
        </x:is>
      </x:c>
      <x:c r="E6" s="129" t="inlineStr">
        <x:is>
          <x:t xml:space="preserve">IP4</x:t>
        </x:is>
      </x:c>
      <x:c r="F6" s="129" t="inlineStr">
        <x:is>
          <x:t xml:space="preserve">Mức tối đa rule</x:t>
        </x:is>
      </x:c>
      <x:c r="G6" s="129" t="inlineStr">
        <x:is>
          <x:t xml:space="preserve">VB4</x:t>
        </x:is>
      </x:c>
      <x:c r="H6" s="129" t="inlineStr">
        <x:is>
          <x:t xml:space="preserve">Vượt rule</x:t>
        </x:is>
      </x:c>
      <x:c r="I6" s="129" t="inlineStr">
        <x:is>
          <x:t xml:space="preserve">IB4</x:t>
        </x:is>
      </x:c>
    </x:row>
    <x:row r="7" ht="42" customHeight="1">
      <x:c r="A7" s="130" t="inlineStr">
        <x:is>
          <x:t xml:space="preserve">invoice items</x:t>
        </x:is>
      </x:c>
      <x:c r="B7" s="129" t="inlineStr">
        <x:is>
          <x:t xml:space="preserve">Có dịch vụ hợp lệ</x:t>
        </x:is>
      </x:c>
      <x:c r="C7" s="129" t="inlineStr">
        <x:is>
          <x:t xml:space="preserve">VP5</x:t>
        </x:is>
      </x:c>
      <x:c r="D7" s="129" t="inlineStr">
        <x:is>
          <x:t xml:space="preserve">Rỗng/service lỗi</x:t>
        </x:is>
      </x:c>
      <x:c r="E7" s="129" t="inlineStr">
        <x:is>
          <x:t xml:space="preserve">IP5</x:t>
        </x:is>
      </x:c>
      <x:c r="F7" s="129" t="inlineStr">
        <x:is>
          <x:t xml:space="preserve">1 item</x:t>
        </x:is>
      </x:c>
      <x:c r="G7" s="129" t="inlineStr">
        <x:is>
          <x:t xml:space="preserve">VB5</x:t>
        </x:is>
      </x:c>
      <x:c r="H7" s="129" t="inlineStr">
        <x:is>
          <x:t xml:space="preserve">0 item</x:t>
        </x:is>
      </x:c>
      <x:c r="I7" s="129" t="inlineStr">
        <x:is>
          <x:t xml:space="preserve">IB5</x:t>
        </x:is>
      </x:c>
    </x:row>
    <x:row r="8" ht="42" customHeight="1">
      <x:c r="A8" s="130" t="inlineStr">
        <x:is>
          <x:t xml:space="preserve">idempotency</x:t>
        </x:is>
      </x:c>
      <x:c r="B8" s="129" t="inlineStr">
        <x:is>
          <x:t xml:space="preserve">Chưa thanh toán</x:t>
        </x:is>
      </x:c>
      <x:c r="C8" s="129" t="inlineStr">
        <x:is>
          <x:t xml:space="preserve">VP6</x:t>
        </x:is>
      </x:c>
      <x:c r="D8" s="129" t="inlineStr">
        <x:is>
          <x:t xml:space="preserve">Gọi pay lặp</x:t>
        </x:is>
      </x:c>
      <x:c r="E8" s="129" t="inlineStr">
        <x:is>
          <x:t xml:space="preserve">IP6</x:t>
        </x:is>
      </x:c>
      <x:c r="F8" s="129" t="inlineStr">
        <x:is>
          <x:t xml:space="preserve">N/A</x:t>
        </x:is>
      </x:c>
      <x:c r="G8" s="129" t="inlineStr">
        <x:is>
          <x:t xml:space="preserve">VB6</x:t>
        </x:is>
      </x:c>
      <x:c r="H8" s="129" t="inlineStr">
        <x:is>
          <x:t xml:space="preserve">N/A</x:t>
        </x:is>
      </x:c>
      <x:c r="I8" s="129" t="inlineStr">
        <x:is>
          <x:t xml:space="preserve">IB6</x:t>
        </x:is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inlineStr">
        <x:is>
          <x:t xml:space="preserve">* Notes:</x:t>
        </x:is>
      </x:c>
      <x:c r="B27" s="141" t="inlineStr">
        <x:is>
          <x:t xml:space="preserve">Đối chiếu tag VP/IP/VB/IB với Test Design.</x:t>
        </x:is>
      </x:c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inlineStr">
        <x:is>
          <x:t xml:space="preserve">Test case design</x:t>
        </x:is>
      </x:c>
      <x:c r="B1" s="172"/>
      <x:c r="C1" s="172"/>
      <x:c r="D1" s="172"/>
    </x:row>
    <x:row r="2" ht="25.5">
      <x:c r="A2" s="83" t="inlineStr">
        <x:is>
          <x:t xml:space="preserve">Test-case No</x:t>
        </x:is>
      </x:c>
      <x:c r="B2" s="83" t="inlineStr">
        <x:is>
          <x:t xml:space="preserve">Description</x:t>
        </x:is>
      </x:c>
      <x:c r="C2" s="83" t="inlineStr">
        <x:is>
          <x:t xml:space="preserve">Expected result</x:t>
        </x:is>
      </x:c>
      <x:c r="D2" s="83" t="inlineStr">
        <x:is>
          <x:t xml:space="preserve">TAG</x:t>
        </x:is>
      </x:c>
    </x:row>
    <x:row r="3" ht="82" customHeight="1">
      <x:c r="A3" s="152">
        <x:v>1</x:v>
      </x:c>
      <x:c r="B3" s="151" t="inlineStr">
        <x:is>
          <x:t xml:space="preserve">Thanh toán hóa đơn hợp lệ.</x:t>
        </x:is>
      </x:c>
      <x:c r="C3" s="151" t="inlineStr">
        <x:is>
          <x:t xml:space="preserve">Invoice PAID; Transaction SUCCESS; sinh queue/request tương ứng.</x:t>
        </x:is>
      </x:c>
      <x:c r="D3" s="151" t="inlineStr">
        <x:is>
          <x:t xml:space="preserve">VP1,VP2,VP3,VP5</x:t>
        </x:is>
      </x:c>
    </x:row>
    <x:row r="4" ht="82" customHeight="1">
      <x:c r="A4" s="152">
        <x:v>2</x:v>
      </x:c>
      <x:c r="B4" s="151" t="inlineStr">
        <x:is>
          <x:t xml:space="preserve">Thanh toán thiếu tiền.</x:t>
        </x:is>
      </x:c>
      <x:c r="C4" s="151" t="inlineStr">
        <x:is>
          <x:t xml:space="preserve">400; Invoice vẫn PENDING.</x:t>
        </x:is>
      </x:c>
      <x:c r="D4" s="151" t="inlineStr">
        <x:is>
          <x:t xml:space="preserve">IP3,IB3</x:t>
        </x:is>
      </x:c>
    </x:row>
    <x:row r="5" ht="82" customHeight="1">
      <x:c r="A5" s="152">
        <x:v>3</x:v>
      </x:c>
      <x:c r="B5" s="151" t="inlineStr">
        <x:is>
          <x:t xml:space="preserve">Thanh toán lại hóa đơn PAID.</x:t>
        </x:is>
      </x:c>
      <x:c r="C5" s="151" t="inlineStr">
        <x:is>
          <x:t xml:space="preserve">409/400; không tạo transaction/queue trùng.</x:t>
        </x:is>
      </x:c>
      <x:c r="D5" s="151" t="inlineStr">
        <x:is>
          <x:t xml:space="preserve">IP1,IP6</x:t>
        </x:is>
      </x:c>
    </x:row>
    <x:row r="6" ht="82" customHeight="1">
      <x:c r="A6" s="152">
        <x:v>4</x:v>
      </x:c>
      <x:c r="B6" s="151" t="inlineStr">
        <x:is>
          <x:t xml:space="preserve">Áp dụng BHXH hợp lệ.</x:t>
        </x:is>
      </x:c>
      <x:c r="C6" s="151" t="inlineStr">
        <x:is>
          <x:t xml:space="preserve">Tính covered/discount/total đúng rule.</x:t>
        </x:is>
      </x:c>
      <x:c r="D6" s="151" t="inlineStr">
        <x:is>
          <x:t xml:space="preserve">VP4</x:t>
        </x:is>
      </x:c>
    </x:row>
    <x:row r="7" ht="82" customHeight="1">
      <x:c r="A7" s="152">
        <x:v>5</x:v>
      </x:c>
      <x:c r="B7" s="151" t="inlineStr">
        <x:is>
          <x:t xml:space="preserve">Hủy invoice đã PAID.</x:t>
        </x:is>
      </x:c>
      <x:c r="C7" s="151" t="inlineStr">
        <x:is>
          <x:t xml:space="preserve">409/400; giữ trạng thái PAID.</x:t>
        </x:is>
      </x:c>
      <x:c r="D7" s="151" t="inlineStr">
        <x:is>
          <x:t xml:space="preserve">IP1</x:t>
        </x:is>
      </x:c>
    </x:row>
    <x:row r="8" ht="82" customHeight="1">
      <x:c r="A8" s="152">
        <x:v>6</x:v>
      </x:c>
      <x:c r="B8" s="151" t="inlineStr">
        <x:is>
          <x:t xml:space="preserve">Thanh toán online thất bại.</x:t>
        </x:is>
      </x:c>
      <x:c r="C8" s="151" t="inlineStr">
        <x:is>
          <x:t xml:space="preserve">Transaction FAILED; Invoice chưa PAID.</x:t>
        </x:is>
      </x:c>
      <x:c r="D8" s="151" t="inlineStr">
        <x:is>
          <x:t xml:space="preserve">IP2</x:t>
        </x:is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inlineStr">
        <x:is>
          <x:t xml:space="preserve">IT05 - Thanh toán và tạo hàng đợi</x:t>
        </x:is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inlineStr">
        <x:is>
          <x:t xml:space="preserve">Invoice -&gt; Transaction -&gt; TestRequest/QueueTicket.</x:t>
        </x:is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f>COUNTIF(A12:A1000,"IT*")</x:f>
        <x:v>0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inlineStr">
        <x:is>
          <x:t xml:space="preserve">Test Case ID</x:t>
        </x:is>
      </x:c>
      <x:c r="B10" s="83" t="inlineStr">
        <x:is>
          <x:t xml:space="preserve">Test Case Description</x:t>
        </x:is>
      </x:c>
      <x:c r="C10" s="83" t="inlineStr">
        <x:is>
          <x:t xml:space="preserve">Test Case Procedure</x:t>
        </x:is>
      </x:c>
      <x:c r="D10" s="83" t="inlineStr">
        <x:is>
          <x:t xml:space="preserve">Expected Results</x:t>
        </x:is>
      </x:c>
      <x:c r="E10" s="83" t="inlineStr">
        <x:is>
          <x:t xml:space="preserve">Pre-conditions</x:t>
        </x:is>
      </x:c>
      <x:c r="F10" s="83" t="inlineStr">
        <x:is>
          <x:t xml:space="preserve">Round 1</x:t>
        </x:is>
      </x:c>
      <x:c r="G10" s="83" t="inlineStr">
        <x:is>
          <x:t xml:space="preserve">Test date</x:t>
        </x:is>
      </x:c>
      <x:c r="H10" s="83" t="inlineStr">
        <x:is>
          <x:t xml:space="preserve">Tester</x:t>
        </x:is>
      </x:c>
      <x:c r="I10" s="83" t="inlineStr">
        <x:is>
          <x:t xml:space="preserve">Round 2</x:t>
        </x:is>
      </x:c>
      <x:c r="J10" s="83" t="inlineStr">
        <x:is>
          <x:t xml:space="preserve">Test date</x:t>
        </x:is>
      </x:c>
      <x:c r="K10" s="83" t="inlineStr">
        <x:is>
          <x:t xml:space="preserve">Tester</x:t>
        </x:is>
      </x:c>
      <x:c r="L10" s="83" t="inlineStr">
        <x:is>
          <x:t xml:space="preserve">Round 3</x:t>
        </x:is>
      </x:c>
      <x:c r="M10" s="83" t="inlineStr">
        <x:is>
          <x:t xml:space="preserve">Test date</x:t>
        </x:is>
      </x:c>
      <x:c r="N10" s="83" t="inlineStr">
        <x:is>
          <x:t xml:space="preserve">Tester</x:t>
        </x:is>
      </x:c>
      <x:c r="O10" s="83" t="inlineStr">
        <x:is>
          <x:t xml:space="preserve">Note</x:t>
        </x:is>
      </x:c>
      <x:c r="Q10" s="34"/>
    </x:row>
    <x:row r="11" s="30" customFormat="1" ht="18" customHeight="1">
      <x:c r="A11" s="79" t="inlineStr">
        <x:is>
          <x:t xml:space="preserve">Luồng hợp lệ</x:t>
        </x:is>
      </x:c>
      <x:c r="Q11" s="38"/>
    </x:row>
    <x:row r="12" s="44" customFormat="1" ht="105" customHeight="1">
      <x:c r="A12" s="39" t="inlineStr">
        <x:is>
          <x:t xml:space="preserve">IT05-001</x:t>
        </x:is>
      </x:c>
      <x:c r="B12" s="39" t="inlineStr">
        <x:is>
          <x:t xml:space="preserve">Thanh toán tiền mặt</x:t>
        </x:is>
      </x:c>
      <x:c r="C12" s="39" t="inlineStr">
        <x:is>
          <x:t xml:space="preserve">POST /api/v1/invoices/{id}/pay.</x:t>
        </x:is>
      </x:c>
      <x:c r="D12" s="45" t="inlineStr">
        <x:is>
          <x:t xml:space="preserve">Invoice PAID; Transaction SUCCESS; tạo bước hàng đợi cần thiết.</x:t>
        </x:is>
      </x:c>
      <x:c r="E12" s="39" t="inlineStr">
        <x:is>
          <x:t xml:space="preserve">Invoice PENDING có item.</x:t>
        </x:is>
      </x:c>
      <x:c r="F12" s="39" t="inlineStr">
        <x:is>
          <x:t xml:space="preserve">Pending</x:t>
        </x:is>
      </x:c>
      <x:c r="I12" s="39" t="inlineStr">
        <x:is>
          <x:t xml:space="preserve">Pending</x:t>
        </x:is>
      </x:c>
      <x:c r="L12" s="39" t="inlineStr">
        <x:is>
          <x:t xml:space="preserve">Pending</x:t>
        </x:is>
      </x:c>
      <x:c r="O12" s="39" t="inlineStr">
        <x:is>
          <x:t xml:space="preserve">VP1,VP2,VP3,VP5</x:t>
        </x:is>
      </x:c>
      <x:c r="Q12" s="43"/>
    </x:row>
    <x:row r="13" ht="105" customHeight="1">
      <x:c r="A13" s="39" t="inlineStr">
        <x:is>
          <x:t xml:space="preserve">IT05-002</x:t>
        </x:is>
      </x:c>
      <x:c r="B13" s="39" t="inlineStr">
        <x:is>
          <x:t xml:space="preserve">Số tiền thiếu</x:t>
        </x:is>
      </x:c>
      <x:c r="C13" s="39" t="inlineStr">
        <x:is>
          <x:t xml:space="preserve">Pay với amount=total-1.</x:t>
        </x:is>
      </x:c>
      <x:c r="D13" s="45" t="inlineStr">
        <x:is>
          <x:t xml:space="preserve">400; Invoice PENDING.</x:t>
        </x:is>
      </x:c>
      <x:c r="E13" s="39" t="inlineStr">
        <x:is>
          <x:t xml:space="preserve">Invoice PENDING.</x:t>
        </x:is>
      </x:c>
      <x:c r="F13" s="39" t="inlineStr">
        <x:is>
          <x:t xml:space="preserve">Pending</x:t>
        </x:is>
      </x:c>
      <x:c r="I13" s="39" t="inlineStr">
        <x:is>
          <x:t xml:space="preserve">Pending</x:t>
        </x:is>
      </x:c>
      <x:c r="L13" s="39" t="inlineStr">
        <x:is>
          <x:t xml:space="preserve">Pending</x:t>
        </x:is>
      </x:c>
      <x:c r="O13" s="39" t="inlineStr">
        <x:is>
          <x:t xml:space="preserve">IP3,IB3</x:t>
        </x:is>
      </x:c>
      <x:c r="Q13" s="43"/>
    </x:row>
    <x:row r="14" ht="18" customHeight="1">
      <x:c r="A14" s="79" t="inlineStr">
        <x:is>
          <x:t xml:space="preserve">Validation nghiệp vụ</x:t>
        </x:is>
      </x:c>
      <x:c r="Q14" s="43"/>
    </x:row>
    <x:row r="15" s="30" customFormat="1" ht="105" customHeight="1">
      <x:c r="A15" s="39" t="inlineStr">
        <x:is>
          <x:t xml:space="preserve">IT05-003</x:t>
        </x:is>
      </x:c>
      <x:c r="B15" s="39" t="inlineStr">
        <x:is>
          <x:t xml:space="preserve">Thanh toán lặp</x:t>
        </x:is>
      </x:c>
      <x:c r="C15" s="39" t="inlineStr">
        <x:is>
          <x:t xml:space="preserve">Gọi pay lần hai cho invoice PAID.</x:t>
        </x:is>
      </x:c>
      <x:c r="D15" s="45" t="inlineStr">
        <x:is>
          <x:t xml:space="preserve">Không tạo Transaction/QueueTicket trùng.</x:t>
        </x:is>
      </x:c>
      <x:c r="E15" s="39" t="inlineStr">
        <x:is>
          <x:t xml:space="preserve">Invoice PAID.</x:t>
        </x:is>
      </x:c>
      <x:c r="F15" s="39" t="inlineStr">
        <x:is>
          <x:t xml:space="preserve">Pending</x:t>
        </x:is>
      </x:c>
      <x:c r="I15" s="39" t="inlineStr">
        <x:is>
          <x:t xml:space="preserve">Pending</x:t>
        </x:is>
      </x:c>
      <x:c r="L15" s="39" t="inlineStr">
        <x:is>
          <x:t xml:space="preserve">Pending</x:t>
        </x:is>
      </x:c>
      <x:c r="O15" s="39" t="inlineStr">
        <x:is>
          <x:t xml:space="preserve">IP1,IP6</x:t>
        </x:is>
      </x:c>
      <x:c r="Q15" s="38"/>
    </x:row>
    <x:row r="16" ht="105" customHeight="1">
      <x:c r="A16" s="39" t="inlineStr">
        <x:is>
          <x:t xml:space="preserve">IT05-004</x:t>
        </x:is>
      </x:c>
      <x:c r="B16" s="39" t="inlineStr">
        <x:is>
          <x:t xml:space="preserve">Áp dụng BHXH</x:t>
        </x:is>
      </x:c>
      <x:c r="C16" s="39" t="inlineStr">
        <x:is>
          <x:t xml:space="preserve">POST /invoices/{id}/insurance.</x:t>
        </x:is>
      </x:c>
      <x:c r="D16" s="45" t="inlineStr">
        <x:is>
          <x:t xml:space="preserve">Các khoản BHXH và patientPayable đúng rule.</x:t>
        </x:is>
      </x:c>
      <x:c r="E16" s="39" t="inlineStr">
        <x:is>
          <x:t xml:space="preserve">Insurance hợp lệ.</x:t>
        </x:is>
      </x:c>
      <x:c r="F16" s="39" t="inlineStr">
        <x:is>
          <x:t xml:space="preserve">Pending</x:t>
        </x:is>
      </x:c>
      <x:c r="I16" s="39" t="inlineStr">
        <x:is>
          <x:t xml:space="preserve">Pending</x:t>
        </x:is>
      </x:c>
      <x:c r="L16" s="39" t="inlineStr">
        <x:is>
          <x:t xml:space="preserve">Pending</x:t>
        </x:is>
      </x:c>
      <x:c r="O16" s="39" t="inlineStr">
        <x:is>
          <x:t xml:space="preserve">VP4</x:t>
        </x:is>
      </x:c>
      <x:c r="Q16" s="43"/>
    </x:row>
    <x:row r="17" ht="18">
      <x:c r="A17" s="79" t="inlineStr">
        <x:is>
          <x:t xml:space="preserve">Quyền/trạng thái biên</x:t>
        </x:is>
      </x:c>
    </x:row>
    <x:row r="18" ht="105" customHeight="1">
      <x:c r="A18" s="39" t="inlineStr">
        <x:is>
          <x:t xml:space="preserve">IT05-005</x:t>
        </x:is>
      </x:c>
      <x:c r="B18" s="39" t="inlineStr">
        <x:is>
          <x:t xml:space="preserve">Hủy invoice đã trả</x:t>
        </x:is>
      </x:c>
      <x:c r="C18" s="39" t="inlineStr">
        <x:is>
          <x:t xml:space="preserve">POST /invoices/{id}/cancel.</x:t>
        </x:is>
      </x:c>
      <x:c r="D18" s="45" t="inlineStr">
        <x:is>
          <x:t xml:space="preserve">409/400; không đổi PAID.</x:t>
        </x:is>
      </x:c>
      <x:c r="E18" s="39" t="inlineStr">
        <x:is>
          <x:t xml:space="preserve">Invoice PAID.</x:t>
        </x:is>
      </x:c>
      <x:c r="F18" s="39" t="inlineStr">
        <x:is>
          <x:t xml:space="preserve">Pending</x:t>
        </x:is>
      </x:c>
      <x:c r="I18" s="39" t="inlineStr">
        <x:is>
          <x:t xml:space="preserve">Pending</x:t>
        </x:is>
      </x:c>
      <x:c r="L18" s="39" t="inlineStr">
        <x:is>
          <x:t xml:space="preserve">Pending</x:t>
        </x:is>
      </x:c>
      <x:c r="O18" s="39" t="inlineStr">
        <x:is>
          <x:t xml:space="preserve">IP1</x:t>
        </x:is>
      </x:c>
    </x:row>
    <x:row r="19" s="44" customFormat="1" ht="105" customHeight="1">
      <x:c r="A19" s="39" t="inlineStr">
        <x:is>
          <x:t xml:space="preserve">IT05-006</x:t>
        </x:is>
      </x:c>
      <x:c r="B19" s="39" t="inlineStr">
        <x:is>
          <x:t xml:space="preserve">PayOS thất bại</x:t>
        </x:is>
      </x:c>
      <x:c r="C19" s="39" t="inlineStr">
        <x:is>
          <x:t xml:space="preserve">Tạo giao dịch PayOS rồi đánh dấu fail.</x:t>
        </x:is>
      </x:c>
      <x:c r="D19" s="45" t="inlineStr">
        <x:is>
          <x:t xml:space="preserve">Transaction FAILED; Invoice chưa PAID.</x:t>
        </x:is>
      </x:c>
      <x:c r="E19" s="39" t="inlineStr">
        <x:is>
          <x:t xml:space="preserve">Gateway trả lỗi.</x:t>
        </x:is>
      </x:c>
      <x:c r="F19" s="39" t="inlineStr">
        <x:is>
          <x:t xml:space="preserve">Pending</x:t>
        </x:is>
      </x:c>
      <x:c r="I19" s="39" t="inlineStr">
        <x:is>
          <x:t xml:space="preserve">Pending</x:t>
        </x:is>
      </x:c>
      <x:c r="L19" s="39" t="inlineStr">
        <x:is>
          <x:t xml:space="preserve">Pending</x:t>
        </x:is>
      </x:c>
      <x:c r="O19" s="39" t="inlineStr">
        <x:is>
          <x:t xml:space="preserve">IP2</x:t>
        </x:is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94b021c673624ee5"/>
</x:worksheet>
</file>

<file path=xl/worksheets/sheet23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inlineStr">
        <x:is>
          <x:t xml:space="preserve">Test Condition Analysis</x:t>
        </x:is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inlineStr">
        <x:is>
          <x:t xml:space="preserve">Condition</x:t>
        </x:is>
      </x:c>
      <x:c r="B2" s="83" t="inlineStr">
        <x:is>
          <x:t xml:space="preserve">Valid Partitions</x:t>
        </x:is>
      </x:c>
      <x:c r="C2" s="83" t="inlineStr">
        <x:is>
          <x:t xml:space="preserve">Tag</x:t>
        </x:is>
      </x:c>
      <x:c r="D2" s="83" t="inlineStr">
        <x:is>
          <x:t xml:space="preserve">Invalid Partitions</x:t>
        </x:is>
      </x:c>
      <x:c r="E2" s="83" t="inlineStr">
        <x:is>
          <x:t xml:space="preserve">Tag</x:t>
        </x:is>
      </x:c>
      <x:c r="F2" s="83" t="inlineStr">
        <x:is>
          <x:t xml:space="preserve">Valid Boundaries</x:t>
        </x:is>
      </x:c>
      <x:c r="G2" s="83" t="inlineStr">
        <x:is>
          <x:t xml:space="preserve">Tag</x:t>
        </x:is>
      </x:c>
      <x:c r="H2" s="83" t="inlineStr">
        <x:is>
          <x:t xml:space="preserve">Invalid Boundaries</x:t>
        </x:is>
      </x:c>
      <x:c r="I2" s="83" t="inlineStr">
        <x:is>
          <x:t xml:space="preserve">Tag</x:t>
        </x:is>
      </x:c>
    </x:row>
    <x:row r="3" ht="42" customHeight="1">
      <x:c r="A3" s="130" t="inlineStr">
        <x:is>
          <x:t xml:space="preserve">queue status</x:t>
        </x:is>
      </x:c>
      <x:c r="B3" s="129" t="inlineStr">
        <x:is>
          <x:t xml:space="preserve">WAITING/CALLED theo thao tác</x:t>
        </x:is>
      </x:c>
      <x:c r="C3" s="129" t="inlineStr">
        <x:is>
          <x:t xml:space="preserve">VP1</x:t>
        </x:is>
      </x:c>
      <x:c r="D3" s="129" t="inlineStr">
        <x:is>
          <x:t xml:space="preserve">DONE/SKIPPED/sai trạng thái</x:t>
        </x:is>
      </x:c>
      <x:c r="E3" s="129" t="inlineStr">
        <x:is>
          <x:t xml:space="preserve">IP1</x:t>
        </x:is>
      </x:c>
      <x:c r="F3" s="129" t="inlineStr">
        <x:is>
          <x:t xml:space="preserve">N/A</x:t>
        </x:is>
      </x:c>
      <x:c r="G3" s="129" t="inlineStr">
        <x:is>
          <x:t xml:space="preserve">VB1</x:t>
        </x:is>
      </x:c>
      <x:c r="H3" s="129" t="inlineStr">
        <x:is>
          <x:t xml:space="preserve">N/A</x:t>
        </x:is>
      </x:c>
      <x:c r="I3" s="129" t="inlineStr">
        <x:is>
          <x:t xml:space="preserve">IB1</x:t>
        </x:is>
      </x:c>
    </x:row>
    <x:row r="4" ht="42" customHeight="1">
      <x:c r="A4" s="130" t="inlineStr">
        <x:is>
          <x:t xml:space="preserve">department</x:t>
        </x:is>
      </x:c>
      <x:c r="B4" s="129" t="inlineStr">
        <x:is>
          <x:t xml:space="preserve">Đúng khoa ticket</x:t>
        </x:is>
      </x:c>
      <x:c r="C4" s="129" t="inlineStr">
        <x:is>
          <x:t xml:space="preserve">VP2</x:t>
        </x:is>
      </x:c>
      <x:c r="D4" s="129" t="inlineStr">
        <x:is>
          <x:t xml:space="preserve">Sai/không tồn tại</x:t>
        </x:is>
      </x:c>
      <x:c r="E4" s="129" t="inlineStr">
        <x:is>
          <x:t xml:space="preserve">IP2</x:t>
        </x:is>
      </x:c>
      <x:c r="F4" s="129" t="inlineStr">
        <x:is>
          <x:t xml:space="preserve">N/A</x:t>
        </x:is>
      </x:c>
      <x:c r="G4" s="129" t="inlineStr">
        <x:is>
          <x:t xml:space="preserve">VB2</x:t>
        </x:is>
      </x:c>
      <x:c r="H4" s="129" t="inlineStr">
        <x:is>
          <x:t xml:space="preserve">Null</x:t>
        </x:is>
      </x:c>
      <x:c r="I4" s="129" t="inlineStr">
        <x:is>
          <x:t xml:space="preserve">IB2</x:t>
        </x:is>
      </x:c>
    </x:row>
    <x:row r="5" ht="42" customHeight="1">
      <x:c r="A5" s="130" t="inlineStr">
        <x:is>
          <x:t xml:space="preserve">staff role</x:t>
        </x:is>
      </x:c>
      <x:c r="B5" s="129" t="inlineStr">
        <x:is>
          <x:t xml:space="preserve">Doctor/Nurse đúng quyền</x:t>
        </x:is>
      </x:c>
      <x:c r="C5" s="129" t="inlineStr">
        <x:is>
          <x:t xml:space="preserve">VP3</x:t>
        </x:is>
      </x:c>
      <x:c r="D5" s="129" t="inlineStr">
        <x:is>
          <x:t xml:space="preserve">Sai role</x:t>
        </x:is>
      </x:c>
      <x:c r="E5" s="129" t="inlineStr">
        <x:is>
          <x:t xml:space="preserve">IP3</x:t>
        </x:is>
      </x:c>
      <x:c r="F5" s="129" t="inlineStr">
        <x:is>
          <x:t xml:space="preserve">N/A</x:t>
        </x:is>
      </x:c>
      <x:c r="G5" s="129" t="inlineStr">
        <x:is>
          <x:t xml:space="preserve">VB3</x:t>
        </x:is>
      </x:c>
      <x:c r="H5" s="129" t="inlineStr">
        <x:is>
          <x:t xml:space="preserve">Null</x:t>
        </x:is>
      </x:c>
      <x:c r="I5" s="129" t="inlineStr">
        <x:is>
          <x:t xml:space="preserve">IB3</x:t>
        </x:is>
      </x:c>
    </x:row>
    <x:row r="6" ht="42" customHeight="1">
      <x:c r="A6" s="130" t="inlineStr">
        <x:is>
          <x:t xml:space="preserve">vital signs</x:t>
        </x:is>
      </x:c>
      <x:c r="B6" s="129" t="inlineStr">
        <x:is>
          <x:t xml:space="preserve">Giá trị trong miền hợp lệ</x:t>
        </x:is>
      </x:c>
      <x:c r="C6" s="129" t="inlineStr">
        <x:is>
          <x:t xml:space="preserve">VP4</x:t>
        </x:is>
      </x:c>
      <x:c r="D6" s="129" t="inlineStr">
        <x:is>
          <x:t xml:space="preserve">Âm/vượt miền/thiếu liên kết</x:t>
        </x:is>
      </x:c>
      <x:c r="E6" s="129" t="inlineStr">
        <x:is>
          <x:t xml:space="preserve">IP4</x:t>
        </x:is>
      </x:c>
      <x:c r="F6" s="129" t="inlineStr">
        <x:is>
          <x:t xml:space="preserve">Giới hạn min/max</x:t>
        </x:is>
      </x:c>
      <x:c r="G6" s="129" t="inlineStr">
        <x:is>
          <x:t xml:space="preserve">VB4</x:t>
        </x:is>
      </x:c>
      <x:c r="H6" s="129" t="inlineStr">
        <x:is>
          <x:t xml:space="preserve">Ngoài giới hạn</x:t>
        </x:is>
      </x:c>
      <x:c r="I6" s="129" t="inlineStr">
        <x:is>
          <x:t xml:space="preserve">IB4</x:t>
        </x:is>
      </x:c>
    </x:row>
    <x:row r="7" ht="42" customHeight="1">
      <x:c r="A7" s="130" t="inlineStr">
        <x:is>
          <x:t xml:space="preserve">visit</x:t>
        </x:is>
      </x:c>
      <x:c r="B7" s="129" t="inlineStr">
        <x:is>
          <x:t xml:space="preserve">CHECKED_IN/IN_PROGRESS</x:t>
        </x:is>
      </x:c>
      <x:c r="C7" s="129" t="inlineStr">
        <x:is>
          <x:t xml:space="preserve">VP5</x:t>
        </x:is>
      </x:c>
      <x:c r="D7" s="129" t="inlineStr">
        <x:is>
          <x:t xml:space="preserve">COMPLETED/CANCELLED</x:t>
        </x:is>
      </x:c>
      <x:c r="E7" s="129" t="inlineStr">
        <x:is>
          <x:t xml:space="preserve">IP5</x:t>
        </x:is>
      </x:c>
      <x:c r="F7" s="129" t="inlineStr">
        <x:is>
          <x:t xml:space="preserve">N/A</x:t>
        </x:is>
      </x:c>
      <x:c r="G7" s="129" t="inlineStr">
        <x:is>
          <x:t xml:space="preserve">VB5</x:t>
        </x:is>
      </x:c>
      <x:c r="H7" s="129" t="inlineStr">
        <x:is>
          <x:t xml:space="preserve">N/A</x:t>
        </x:is>
      </x:c>
      <x:c r="I7" s="129" t="inlineStr">
        <x:is>
          <x:t xml:space="preserve">IB5</x:t>
        </x:is>
      </x:c>
    </x:row>
    <x:row r="8" ht="42" customHeight="1">
      <x:c r="A8" s="130" t="inlineStr">
        <x:is>
          <x:t xml:space="preserve">concurrency</x:t>
        </x:is>
      </x:c>
      <x:c r="B8" s="129" t="inlineStr">
        <x:is>
          <x:t xml:space="preserve">Ticket chưa bị staff khác nhận</x:t>
        </x:is>
      </x:c>
      <x:c r="C8" s="129" t="inlineStr">
        <x:is>
          <x:t xml:space="preserve">VP6</x:t>
        </x:is>
      </x:c>
      <x:c r="D8" s="129" t="inlineStr">
        <x:is>
          <x:t xml:space="preserve">Hai staff gọi/start đồng thời</x:t>
        </x:is>
      </x:c>
      <x:c r="E8" s="129" t="inlineStr">
        <x:is>
          <x:t xml:space="preserve">IP6</x:t>
        </x:is>
      </x:c>
      <x:c r="F8" s="129" t="inlineStr">
        <x:is>
          <x:t xml:space="preserve">N/A</x:t>
        </x:is>
      </x:c>
      <x:c r="G8" s="129" t="inlineStr">
        <x:is>
          <x:t xml:space="preserve">VB6</x:t>
        </x:is>
      </x:c>
      <x:c r="H8" s="129" t="inlineStr">
        <x:is>
          <x:t xml:space="preserve">N/A</x:t>
        </x:is>
      </x:c>
      <x:c r="I8" s="129" t="inlineStr">
        <x:is>
          <x:t xml:space="preserve">IB6</x:t>
        </x:is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inlineStr">
        <x:is>
          <x:t xml:space="preserve">* Notes:</x:t>
        </x:is>
      </x:c>
      <x:c r="B27" s="141" t="inlineStr">
        <x:is>
          <x:t xml:space="preserve">Đối chiếu tag VP/IP/VB/IB với Test Design.</x:t>
        </x:is>
      </x:c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inlineStr">
        <x:is>
          <x:t xml:space="preserve">Test case design</x:t>
        </x:is>
      </x:c>
      <x:c r="B1" s="172"/>
      <x:c r="C1" s="172"/>
      <x:c r="D1" s="172"/>
    </x:row>
    <x:row r="2" ht="25.5">
      <x:c r="A2" s="83" t="inlineStr">
        <x:is>
          <x:t xml:space="preserve">Test-case No</x:t>
        </x:is>
      </x:c>
      <x:c r="B2" s="83" t="inlineStr">
        <x:is>
          <x:t xml:space="preserve">Description</x:t>
        </x:is>
      </x:c>
      <x:c r="C2" s="83" t="inlineStr">
        <x:is>
          <x:t xml:space="preserve">Expected result</x:t>
        </x:is>
      </x:c>
      <x:c r="D2" s="83" t="inlineStr">
        <x:is>
          <x:t xml:space="preserve">TAG</x:t>
        </x:is>
      </x:c>
    </x:row>
    <x:row r="3" ht="82" customHeight="1">
      <x:c r="A3" s="152">
        <x:v>1</x:v>
      </x:c>
      <x:c r="B3" s="151" t="inlineStr">
        <x:is>
          <x:t xml:space="preserve">Gọi ticket WAITING.</x:t>
        </x:is>
      </x:c>
      <x:c r="C3" s="151" t="inlineStr">
        <x:is>
          <x:t xml:space="preserve">Ticket -&gt; CALLED; ghi calledAt.</x:t>
        </x:is>
      </x:c>
      <x:c r="D3" s="151" t="inlineStr">
        <x:is>
          <x:t xml:space="preserve">VP1,VP2,VP3</x:t>
        </x:is>
      </x:c>
    </x:row>
    <x:row r="4" ht="82" customHeight="1">
      <x:c r="A4" s="152">
        <x:v>2</x:v>
      </x:c>
      <x:c r="B4" s="151" t="inlineStr">
        <x:is>
          <x:t xml:space="preserve">Bắt đầu khám ticket CALLED.</x:t>
        </x:is>
      </x:c>
      <x:c r="C4" s="151" t="inlineStr">
        <x:is>
          <x:t xml:space="preserve">Ticket/Visit IN_PROGRESS; tạo record liên quan.</x:t>
        </x:is>
      </x:c>
      <x:c r="D4" s="151" t="inlineStr">
        <x:is>
          <x:t xml:space="preserve">VP1,VP5</x:t>
        </x:is>
      </x:c>
    </x:row>
    <x:row r="5" ht="82" customHeight="1">
      <x:c r="A5" s="152">
        <x:v>3</x:v>
      </x:c>
      <x:c r="B5" s="151" t="inlineStr">
        <x:is>
          <x:t xml:space="preserve">Gọi lại ticket DONE.</x:t>
        </x:is>
      </x:c>
      <x:c r="C5" s="151" t="inlineStr">
        <x:is>
          <x:t xml:space="preserve">400/409; không đổi trạng thái.</x:t>
        </x:is>
      </x:c>
      <x:c r="D5" s="151" t="inlineStr">
        <x:is>
          <x:t xml:space="preserve">IP1</x:t>
        </x:is>
      </x:c>
    </x:row>
    <x:row r="6" ht="82" customHeight="1">
      <x:c r="A6" s="152">
        <x:v>4</x:v>
      </x:c>
      <x:c r="B6" s="151" t="inlineStr">
        <x:is>
          <x:t xml:space="preserve">Nhập sinh hiệu hợp lệ.</x:t>
        </x:is>
      </x:c>
      <x:c r="C6" s="151" t="inlineStr">
        <x:is>
          <x:t xml:space="preserve">Tạo VitalSigns gắn đúng Visit.</x:t>
        </x:is>
      </x:c>
      <x:c r="D6" s="151" t="inlineStr">
        <x:is>
          <x:t xml:space="preserve">VP4</x:t>
        </x:is>
      </x:c>
    </x:row>
    <x:row r="7" ht="82" customHeight="1">
      <x:c r="A7" s="152">
        <x:v>5</x:v>
      </x:c>
      <x:c r="B7" s="151" t="inlineStr">
        <x:is>
          <x:t xml:space="preserve">Nhập sinh hiệu ngoài miền.</x:t>
        </x:is>
      </x:c>
      <x:c r="C7" s="151" t="inlineStr">
        <x:is>
          <x:t xml:space="preserve">400; không lưu.</x:t>
        </x:is>
      </x:c>
      <x:c r="D7" s="151" t="inlineStr">
        <x:is>
          <x:t xml:space="preserve">IP4,IB4</x:t>
        </x:is>
      </x:c>
    </x:row>
    <x:row r="8" ht="82" customHeight="1">
      <x:c r="A8" s="152">
        <x:v>6</x:v>
      </x:c>
      <x:c r="B8" s="151" t="inlineStr">
        <x:is>
          <x:t xml:space="preserve">Hai nhân viên thao tác cùng ticket.</x:t>
        </x:is>
      </x:c>
      <x:c r="C8" s="151" t="inlineStr">
        <x:is>
          <x:t xml:space="preserve">Chỉ một thao tác thành công; không duplicate record.</x:t>
        </x:is>
      </x:c>
      <x:c r="D8" s="151" t="inlineStr">
        <x:is>
          <x:t xml:space="preserve">IP6</x:t>
        </x:is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inlineStr">
        <x:is>
          <x:t xml:space="preserve">IT06 - Hàng đợi và bắt đầu khám</x:t>
        </x:is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inlineStr">
        <x:is>
          <x:t xml:space="preserve">QueueTicket -&gt; CustomerVisit -&gt; VitalSigns -&gt; MedicalRecord.</x:t>
        </x:is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f>COUNTIF(A12:A1000,"IT*")</x:f>
        <x:v>0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inlineStr">
        <x:is>
          <x:t xml:space="preserve">Test Case ID</x:t>
        </x:is>
      </x:c>
      <x:c r="B10" s="83" t="inlineStr">
        <x:is>
          <x:t xml:space="preserve">Test Case Description</x:t>
        </x:is>
      </x:c>
      <x:c r="C10" s="83" t="inlineStr">
        <x:is>
          <x:t xml:space="preserve">Test Case Procedure</x:t>
        </x:is>
      </x:c>
      <x:c r="D10" s="83" t="inlineStr">
        <x:is>
          <x:t xml:space="preserve">Expected Results</x:t>
        </x:is>
      </x:c>
      <x:c r="E10" s="83" t="inlineStr">
        <x:is>
          <x:t xml:space="preserve">Pre-conditions</x:t>
        </x:is>
      </x:c>
      <x:c r="F10" s="83" t="inlineStr">
        <x:is>
          <x:t xml:space="preserve">Round 1</x:t>
        </x:is>
      </x:c>
      <x:c r="G10" s="83" t="inlineStr">
        <x:is>
          <x:t xml:space="preserve">Test date</x:t>
        </x:is>
      </x:c>
      <x:c r="H10" s="83" t="inlineStr">
        <x:is>
          <x:t xml:space="preserve">Tester</x:t>
        </x:is>
      </x:c>
      <x:c r="I10" s="83" t="inlineStr">
        <x:is>
          <x:t xml:space="preserve">Round 2</x:t>
        </x:is>
      </x:c>
      <x:c r="J10" s="83" t="inlineStr">
        <x:is>
          <x:t xml:space="preserve">Test date</x:t>
        </x:is>
      </x:c>
      <x:c r="K10" s="83" t="inlineStr">
        <x:is>
          <x:t xml:space="preserve">Tester</x:t>
        </x:is>
      </x:c>
      <x:c r="L10" s="83" t="inlineStr">
        <x:is>
          <x:t xml:space="preserve">Round 3</x:t>
        </x:is>
      </x:c>
      <x:c r="M10" s="83" t="inlineStr">
        <x:is>
          <x:t xml:space="preserve">Test date</x:t>
        </x:is>
      </x:c>
      <x:c r="N10" s="83" t="inlineStr">
        <x:is>
          <x:t xml:space="preserve">Tester</x:t>
        </x:is>
      </x:c>
      <x:c r="O10" s="83" t="inlineStr">
        <x:is>
          <x:t xml:space="preserve">Note</x:t>
        </x:is>
      </x:c>
      <x:c r="Q10" s="34"/>
    </x:row>
    <x:row r="11" s="30" customFormat="1" ht="18" customHeight="1">
      <x:c r="A11" s="79" t="inlineStr">
        <x:is>
          <x:t xml:space="preserve">Luồng hợp lệ</x:t>
        </x:is>
      </x:c>
      <x:c r="Q11" s="38"/>
    </x:row>
    <x:row r="12" s="44" customFormat="1" ht="105" customHeight="1">
      <x:c r="A12" s="39" t="inlineStr">
        <x:is>
          <x:t xml:space="preserve">IT06-001</x:t>
        </x:is>
      </x:c>
      <x:c r="B12" s="39" t="inlineStr">
        <x:is>
          <x:t xml:space="preserve">Gọi bệnh nhân</x:t>
        </x:is>
      </x:c>
      <x:c r="C12" s="39" t="inlineStr">
        <x:is>
          <x:t xml:space="preserve">POST /queue-tickets/{id}/call.</x:t>
        </x:is>
      </x:c>
      <x:c r="D12" s="45" t="inlineStr">
        <x:is>
          <x:t xml:space="preserve">Queue WAITING -&gt; CALLED; calledAt được ghi.</x:t>
        </x:is>
      </x:c>
      <x:c r="E12" s="39" t="inlineStr">
        <x:is>
          <x:t xml:space="preserve">Ticket WAITING.</x:t>
        </x:is>
      </x:c>
      <x:c r="F12" s="39" t="inlineStr">
        <x:is>
          <x:t xml:space="preserve">Pending</x:t>
        </x:is>
      </x:c>
      <x:c r="I12" s="39" t="inlineStr">
        <x:is>
          <x:t xml:space="preserve">Pending</x:t>
        </x:is>
      </x:c>
      <x:c r="L12" s="39" t="inlineStr">
        <x:is>
          <x:t xml:space="preserve">Pending</x:t>
        </x:is>
      </x:c>
      <x:c r="O12" s="39" t="inlineStr">
        <x:is>
          <x:t xml:space="preserve">VP1,VP2,VP3</x:t>
        </x:is>
      </x:c>
      <x:c r="Q12" s="43"/>
    </x:row>
    <x:row r="13" ht="105" customHeight="1">
      <x:c r="A13" s="39" t="inlineStr">
        <x:is>
          <x:t xml:space="preserve">IT06-002</x:t>
        </x:is>
      </x:c>
      <x:c r="B13" s="39" t="inlineStr">
        <x:is>
          <x:t xml:space="preserve">Bắt đầu khám</x:t>
        </x:is>
      </x:c>
      <x:c r="C13" s="39" t="inlineStr">
        <x:is>
          <x:t xml:space="preserve">POST /queue-tickets/{id}/start-exam.</x:t>
        </x:is>
      </x:c>
      <x:c r="D13" s="45" t="inlineStr">
        <x:is>
          <x:t xml:space="preserve">Queue và Visit IN_PROGRESS; dữ liệu khám sẵn sàng.</x:t>
        </x:is>
      </x:c>
      <x:c r="E13" s="39" t="inlineStr">
        <x:is>
          <x:t xml:space="preserve">Ticket CALLED.</x:t>
        </x:is>
      </x:c>
      <x:c r="F13" s="39" t="inlineStr">
        <x:is>
          <x:t xml:space="preserve">Pending</x:t>
        </x:is>
      </x:c>
      <x:c r="I13" s="39" t="inlineStr">
        <x:is>
          <x:t xml:space="preserve">Pending</x:t>
        </x:is>
      </x:c>
      <x:c r="L13" s="39" t="inlineStr">
        <x:is>
          <x:t xml:space="preserve">Pending</x:t>
        </x:is>
      </x:c>
      <x:c r="O13" s="39" t="inlineStr">
        <x:is>
          <x:t xml:space="preserve">VP1,VP5</x:t>
        </x:is>
      </x:c>
      <x:c r="Q13" s="43"/>
    </x:row>
    <x:row r="14" ht="18" customHeight="1">
      <x:c r="A14" s="79" t="inlineStr">
        <x:is>
          <x:t xml:space="preserve">Validation nghiệp vụ</x:t>
        </x:is>
      </x:c>
      <x:c r="Q14" s="43"/>
    </x:row>
    <x:row r="15" s="30" customFormat="1" ht="105" customHeight="1">
      <x:c r="A15" s="39" t="inlineStr">
        <x:is>
          <x:t xml:space="preserve">IT06-003</x:t>
        </x:is>
      </x:c>
      <x:c r="B15" s="39" t="inlineStr">
        <x:is>
          <x:t xml:space="preserve">Ticket đã hoàn thành</x:t>
        </x:is>
      </x:c>
      <x:c r="C15" s="39" t="inlineStr">
        <x:is>
          <x:t xml:space="preserve">Gọi /call cho ticket DONE.</x:t>
        </x:is>
      </x:c>
      <x:c r="D15" s="45" t="inlineStr">
        <x:is>
          <x:t xml:space="preserve">400/409; trạng thái không đổi.</x:t>
        </x:is>
      </x:c>
      <x:c r="E15" s="39" t="inlineStr">
        <x:is>
          <x:t xml:space="preserve">Ticket DONE.</x:t>
        </x:is>
      </x:c>
      <x:c r="F15" s="39" t="inlineStr">
        <x:is>
          <x:t xml:space="preserve">Pending</x:t>
        </x:is>
      </x:c>
      <x:c r="I15" s="39" t="inlineStr">
        <x:is>
          <x:t xml:space="preserve">Pending</x:t>
        </x:is>
      </x:c>
      <x:c r="L15" s="39" t="inlineStr">
        <x:is>
          <x:t xml:space="preserve">Pending</x:t>
        </x:is>
      </x:c>
      <x:c r="O15" s="39" t="inlineStr">
        <x:is>
          <x:t xml:space="preserve">IP1</x:t>
        </x:is>
      </x:c>
      <x:c r="Q15" s="38"/>
    </x:row>
    <x:row r="16" ht="105" customHeight="1">
      <x:c r="A16" s="39" t="inlineStr">
        <x:is>
          <x:t xml:space="preserve">IT06-004</x:t>
        </x:is>
      </x:c>
      <x:c r="B16" s="39" t="inlineStr">
        <x:is>
          <x:t xml:space="preserve">Đo sinh hiệu</x:t>
        </x:is>
      </x:c>
      <x:c r="C16" s="39" t="inlineStr">
        <x:is>
          <x:t xml:space="preserve">POST /api/v1/vital-signs với dữ liệu hợp lệ.</x:t>
        </x:is>
      </x:c>
      <x:c r="D16" s="45" t="inlineStr">
        <x:is>
          <x:t xml:space="preserve">201; VitalSigns gắn đúng Visit.</x:t>
        </x:is>
      </x:c>
      <x:c r="E16" s="39" t="inlineStr">
        <x:is>
          <x:t xml:space="preserve">Visit active.</x:t>
        </x:is>
      </x:c>
      <x:c r="F16" s="39" t="inlineStr">
        <x:is>
          <x:t xml:space="preserve">Pending</x:t>
        </x:is>
      </x:c>
      <x:c r="I16" s="39" t="inlineStr">
        <x:is>
          <x:t xml:space="preserve">Pending</x:t>
        </x:is>
      </x:c>
      <x:c r="L16" s="39" t="inlineStr">
        <x:is>
          <x:t xml:space="preserve">Pending</x:t>
        </x:is>
      </x:c>
      <x:c r="O16" s="39" t="inlineStr">
        <x:is>
          <x:t xml:space="preserve">VP4</x:t>
        </x:is>
      </x:c>
      <x:c r="Q16" s="43"/>
    </x:row>
    <x:row r="17" ht="18">
      <x:c r="A17" s="79" t="inlineStr">
        <x:is>
          <x:t xml:space="preserve">Quyền/trạng thái biên</x:t>
        </x:is>
      </x:c>
    </x:row>
    <x:row r="18" ht="105" customHeight="1">
      <x:c r="A18" s="39" t="inlineStr">
        <x:is>
          <x:t xml:space="preserve">IT06-005</x:t>
        </x:is>
      </x:c>
      <x:c r="B18" s="39" t="inlineStr">
        <x:is>
          <x:t xml:space="preserve">Sinh hiệu không hợp lệ</x:t>
        </x:is>
      </x:c>
      <x:c r="C18" s="39" t="inlineStr">
        <x:is>
          <x:t xml:space="preserve">POST nhiệt độ/huyết áp ngoài miền.</x:t>
        </x:is>
      </x:c>
      <x:c r="D18" s="45" t="inlineStr">
        <x:is>
          <x:t xml:space="preserve">400; không lưu.</x:t>
        </x:is>
      </x:c>
      <x:c r="E18" s="39" t="inlineStr">
        <x:is>
          <x:t xml:space="preserve">Visit active.</x:t>
        </x:is>
      </x:c>
      <x:c r="F18" s="39" t="inlineStr">
        <x:is>
          <x:t xml:space="preserve">Pending</x:t>
        </x:is>
      </x:c>
      <x:c r="I18" s="39" t="inlineStr">
        <x:is>
          <x:t xml:space="preserve">Pending</x:t>
        </x:is>
      </x:c>
      <x:c r="L18" s="39" t="inlineStr">
        <x:is>
          <x:t xml:space="preserve">Pending</x:t>
        </x:is>
      </x:c>
      <x:c r="O18" s="39" t="inlineStr">
        <x:is>
          <x:t xml:space="preserve">IP4,IB4</x:t>
        </x:is>
      </x:c>
    </x:row>
    <x:row r="19" s="44" customFormat="1" ht="105" customHeight="1">
      <x:c r="A19" s="39" t="inlineStr">
        <x:is>
          <x:t xml:space="preserve">IT06-006</x:t>
        </x:is>
      </x:c>
      <x:c r="B19" s="39" t="inlineStr">
        <x:is>
          <x:t xml:space="preserve">Gọi số đồng thời</x:t>
        </x:is>
      </x:c>
      <x:c r="C19" s="39" t="inlineStr">
        <x:is>
          <x:t xml:space="preserve">Hai request /call cùng ticket.</x:t>
        </x:is>
      </x:c>
      <x:c r="D19" s="45" t="inlineStr">
        <x:is>
          <x:t xml:space="preserve">Chỉ một thành công; không double-call.</x:t>
        </x:is>
      </x:c>
      <x:c r="E19" s="39" t="inlineStr">
        <x:is>
          <x:t xml:space="preserve">Ticket WAITING.</x:t>
        </x:is>
      </x:c>
      <x:c r="F19" s="39" t="inlineStr">
        <x:is>
          <x:t xml:space="preserve">Pending</x:t>
        </x:is>
      </x:c>
      <x:c r="I19" s="39" t="inlineStr">
        <x:is>
          <x:t xml:space="preserve">Pending</x:t>
        </x:is>
      </x:c>
      <x:c r="L19" s="39" t="inlineStr">
        <x:is>
          <x:t xml:space="preserve">Pending</x:t>
        </x:is>
      </x:c>
      <x:c r="O19" s="39" t="inlineStr">
        <x:is>
          <x:t xml:space="preserve">IP6</x:t>
        </x:is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34b22d12c32046c9"/>
</x:worksheet>
</file>

<file path=xl/worksheets/sheet26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inlineStr">
        <x:is>
          <x:t xml:space="preserve">Test Condition Analysis</x:t>
        </x:is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inlineStr">
        <x:is>
          <x:t xml:space="preserve">Condition</x:t>
        </x:is>
      </x:c>
      <x:c r="B2" s="83" t="inlineStr">
        <x:is>
          <x:t xml:space="preserve">Valid Partitions</x:t>
        </x:is>
      </x:c>
      <x:c r="C2" s="83" t="inlineStr">
        <x:is>
          <x:t xml:space="preserve">Tag</x:t>
        </x:is>
      </x:c>
      <x:c r="D2" s="83" t="inlineStr">
        <x:is>
          <x:t xml:space="preserve">Invalid Partitions</x:t>
        </x:is>
      </x:c>
      <x:c r="E2" s="83" t="inlineStr">
        <x:is>
          <x:t xml:space="preserve">Tag</x:t>
        </x:is>
      </x:c>
      <x:c r="F2" s="83" t="inlineStr">
        <x:is>
          <x:t xml:space="preserve">Valid Boundaries</x:t>
        </x:is>
      </x:c>
      <x:c r="G2" s="83" t="inlineStr">
        <x:is>
          <x:t xml:space="preserve">Tag</x:t>
        </x:is>
      </x:c>
      <x:c r="H2" s="83" t="inlineStr">
        <x:is>
          <x:t xml:space="preserve">Invalid Boundaries</x:t>
        </x:is>
      </x:c>
      <x:c r="I2" s="83" t="inlineStr">
        <x:is>
          <x:t xml:space="preserve">Tag</x:t>
        </x:is>
      </x:c>
    </x:row>
    <x:row r="3" ht="42" customHeight="1">
      <x:c r="A3" s="130" t="inlineStr">
        <x:is>
          <x:t xml:space="preserve">record</x:t>
        </x:is>
      </x:c>
      <x:c r="B3" s="129" t="inlineStr">
        <x:is>
          <x:t xml:space="preserve">IN_PROGRESS/DRAFT</x:t>
        </x:is>
      </x:c>
      <x:c r="C3" s="129" t="inlineStr">
        <x:is>
          <x:t xml:space="preserve">VP1</x:t>
        </x:is>
      </x:c>
      <x:c r="D3" s="129" t="inlineStr">
        <x:is>
          <x:t xml:space="preserve">COMPLETED/không tồn tại</x:t>
        </x:is>
      </x:c>
      <x:c r="E3" s="129" t="inlineStr">
        <x:is>
          <x:t xml:space="preserve">IP1</x:t>
        </x:is>
      </x:c>
      <x:c r="F3" s="129" t="inlineStr">
        <x:is>
          <x:t xml:space="preserve">N/A</x:t>
        </x:is>
      </x:c>
      <x:c r="G3" s="129" t="inlineStr">
        <x:is>
          <x:t xml:space="preserve">VB1</x:t>
        </x:is>
      </x:c>
      <x:c r="H3" s="129" t="inlineStr">
        <x:is>
          <x:t xml:space="preserve">Null</x:t>
        </x:is>
      </x:c>
      <x:c r="I3" s="129" t="inlineStr">
        <x:is>
          <x:t xml:space="preserve">IB1</x:t>
        </x:is>
      </x:c>
    </x:row>
    <x:row r="4" ht="42" customHeight="1">
      <x:c r="A4" s="130" t="inlineStr">
        <x:is>
          <x:t xml:space="preserve">doctor</x:t>
        </x:is>
      </x:c>
      <x:c r="B4" s="129" t="inlineStr">
        <x:is>
          <x:t xml:space="preserve">Bác sĩ phụ trách</x:t>
        </x:is>
      </x:c>
      <x:c r="C4" s="129" t="inlineStr">
        <x:is>
          <x:t xml:space="preserve">VP2</x:t>
        </x:is>
      </x:c>
      <x:c r="D4" s="129" t="inlineStr">
        <x:is>
          <x:t xml:space="preserve">Sai role/sai bác sĩ</x:t>
        </x:is>
      </x:c>
      <x:c r="E4" s="129" t="inlineStr">
        <x:is>
          <x:t xml:space="preserve">IP2</x:t>
        </x:is>
      </x:c>
      <x:c r="F4" s="129" t="inlineStr">
        <x:is>
          <x:t xml:space="preserve">N/A</x:t>
        </x:is>
      </x:c>
      <x:c r="G4" s="129" t="inlineStr">
        <x:is>
          <x:t xml:space="preserve">VB2</x:t>
        </x:is>
      </x:c>
      <x:c r="H4" s="129" t="inlineStr">
        <x:is>
          <x:t xml:space="preserve">Null</x:t>
        </x:is>
      </x:c>
      <x:c r="I4" s="129" t="inlineStr">
        <x:is>
          <x:t xml:space="preserve">IB2</x:t>
        </x:is>
      </x:c>
    </x:row>
    <x:row r="5" ht="42" customHeight="1">
      <x:c r="A5" s="130" t="inlineStr">
        <x:is>
          <x:t xml:space="preserve">diagnosis</x:t>
        </x:is>
      </x:c>
      <x:c r="B5" s="129" t="inlineStr">
        <x:is>
          <x:t xml:space="preserve">Không rỗng/ICD10 tồn tại</x:t>
        </x:is>
      </x:c>
      <x:c r="C5" s="129" t="inlineStr">
        <x:is>
          <x:t xml:space="preserve">VP3</x:t>
        </x:is>
      </x:c>
      <x:c r="D5" s="129" t="inlineStr">
        <x:is>
          <x:t xml:space="preserve">Rỗng/mã không tồn tại</x:t>
        </x:is>
      </x:c>
      <x:c r="E5" s="129" t="inlineStr">
        <x:is>
          <x:t xml:space="preserve">IP3</x:t>
        </x:is>
      </x:c>
      <x:c r="F5" s="129" t="inlineStr">
        <x:is>
          <x:t xml:space="preserve">1 mã</x:t>
        </x:is>
      </x:c>
      <x:c r="G5" s="129" t="inlineStr">
        <x:is>
          <x:t xml:space="preserve">VB3</x:t>
        </x:is>
      </x:c>
      <x:c r="H5" s="129" t="inlineStr">
        <x:is>
          <x:t xml:space="preserve">0 mã</x:t>
        </x:is>
      </x:c>
      <x:c r="I5" s="129" t="inlineStr">
        <x:is>
          <x:t xml:space="preserve">IB3</x:t>
        </x:is>
      </x:c>
    </x:row>
    <x:row r="6" ht="42" customHeight="1">
      <x:c r="A6" s="130" t="inlineStr">
        <x:is>
          <x:t xml:space="preserve">medicine</x:t>
        </x:is>
      </x:c>
      <x:c r="B6" s="129" t="inlineStr">
        <x:is>
          <x:t xml:space="preserve">Thuốc tồn tại, active</x:t>
        </x:is>
      </x:c>
      <x:c r="C6" s="129" t="inlineStr">
        <x:is>
          <x:t xml:space="preserve">VP4</x:t>
        </x:is>
      </x:c>
      <x:c r="D6" s="129" t="inlineStr">
        <x:is>
          <x:t xml:space="preserve">Không tồn tại/inactive</x:t>
        </x:is>
      </x:c>
      <x:c r="E6" s="129" t="inlineStr">
        <x:is>
          <x:t xml:space="preserve">IP4</x:t>
        </x:is>
      </x:c>
      <x:c r="F6" s="129" t="inlineStr">
        <x:is>
          <x:t xml:space="preserve">1 item</x:t>
        </x:is>
      </x:c>
      <x:c r="G6" s="129" t="inlineStr">
        <x:is>
          <x:t xml:space="preserve">VB4</x:t>
        </x:is>
      </x:c>
      <x:c r="H6" s="129" t="inlineStr">
        <x:is>
          <x:t xml:space="preserve">0 item</x:t>
        </x:is>
      </x:c>
      <x:c r="I6" s="129" t="inlineStr">
        <x:is>
          <x:t xml:space="preserve">IB4</x:t>
        </x:is>
      </x:c>
    </x:row>
    <x:row r="7" ht="42" customHeight="1">
      <x:c r="A7" s="130" t="inlineStr">
        <x:is>
          <x:t xml:space="preserve">quantity/dose</x:t>
        </x:is>
      </x:c>
      <x:c r="B7" s="129" t="inlineStr">
        <x:is>
          <x:t xml:space="preserve">Số dương</x:t>
        </x:is>
      </x:c>
      <x:c r="C7" s="129" t="inlineStr">
        <x:is>
          <x:t xml:space="preserve">VP5</x:t>
        </x:is>
      </x:c>
      <x:c r="D7" s="129" t="inlineStr">
        <x:is>
          <x:t xml:space="preserve">0/âm/sai định dạng</x:t>
        </x:is>
      </x:c>
      <x:c r="E7" s="129" t="inlineStr">
        <x:is>
          <x:t xml:space="preserve">IP5</x:t>
        </x:is>
      </x:c>
      <x:c r="F7" s="129" t="inlineStr">
        <x:is>
          <x:t xml:space="preserve">1</x:t>
        </x:is>
      </x:c>
      <x:c r="G7" s="129" t="inlineStr">
        <x:is>
          <x:t xml:space="preserve">VB5</x:t>
        </x:is>
      </x:c>
      <x:c r="H7" s="129" t="inlineStr">
        <x:is>
          <x:t xml:space="preserve">0</x:t>
        </x:is>
      </x:c>
      <x:c r="I7" s="129" t="inlineStr">
        <x:is>
          <x:t xml:space="preserve">IB5</x:t>
        </x:is>
      </x:c>
    </x:row>
    <x:row r="8" ht="42" customHeight="1">
      <x:c r="A8" s="130" t="inlineStr">
        <x:is>
          <x:t xml:space="preserve">record transition</x:t>
        </x:is>
      </x:c>
      <x:c r="B8" s="129" t="inlineStr">
        <x:is>
          <x:t xml:space="preserve">IN_PROGRESS -&gt; DRAFT/COMPLETED</x:t>
        </x:is>
      </x:c>
      <x:c r="C8" s="129" t="inlineStr">
        <x:is>
          <x:t xml:space="preserve">VP6</x:t>
        </x:is>
      </x:c>
      <x:c r="D8" s="129" t="inlineStr">
        <x:is>
          <x:t xml:space="preserve">Chuyển ngược COMPLETED</x:t>
        </x:is>
      </x:c>
      <x:c r="E8" s="129" t="inlineStr">
        <x:is>
          <x:t xml:space="preserve">IP6</x:t>
        </x:is>
      </x:c>
      <x:c r="F8" s="129" t="inlineStr">
        <x:is>
          <x:t xml:space="preserve">N/A</x:t>
        </x:is>
      </x:c>
      <x:c r="G8" s="129" t="inlineStr">
        <x:is>
          <x:t xml:space="preserve">VB6</x:t>
        </x:is>
      </x:c>
      <x:c r="H8" s="129" t="inlineStr">
        <x:is>
          <x:t xml:space="preserve">N/A</x:t>
        </x:is>
      </x:c>
      <x:c r="I8" s="129" t="inlineStr">
        <x:is>
          <x:t xml:space="preserve">IB6</x:t>
        </x:is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inlineStr">
        <x:is>
          <x:t xml:space="preserve">* Notes:</x:t>
        </x:is>
      </x:c>
      <x:c r="B27" s="141" t="inlineStr">
        <x:is>
          <x:t xml:space="preserve">Đối chiếu tag VP/IP/VB/IB với Test Design.</x:t>
        </x:is>
      </x:c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inlineStr">
        <x:is>
          <x:t xml:space="preserve">Test case design</x:t>
        </x:is>
      </x:c>
      <x:c r="B1" s="172"/>
      <x:c r="C1" s="172"/>
      <x:c r="D1" s="172"/>
    </x:row>
    <x:row r="2" ht="25.5">
      <x:c r="A2" s="83" t="inlineStr">
        <x:is>
          <x:t xml:space="preserve">Test-case No</x:t>
        </x:is>
      </x:c>
      <x:c r="B2" s="83" t="inlineStr">
        <x:is>
          <x:t xml:space="preserve">Description</x:t>
        </x:is>
      </x:c>
      <x:c r="C2" s="83" t="inlineStr">
        <x:is>
          <x:t xml:space="preserve">Expected result</x:t>
        </x:is>
      </x:c>
      <x:c r="D2" s="83" t="inlineStr">
        <x:is>
          <x:t xml:space="preserve">TAG</x:t>
        </x:is>
      </x:c>
    </x:row>
    <x:row r="3" ht="82" customHeight="1">
      <x:c r="A3" s="152">
        <x:v>1</x:v>
      </x:c>
      <x:c r="B3" s="151" t="inlineStr">
        <x:is>
          <x:t xml:space="preserve">Cập nhật hồ sơ khám hợp lệ.</x:t>
        </x:is>
      </x:c>
      <x:c r="C3" s="151" t="inlineStr">
        <x:is>
          <x:t xml:space="preserve">Record lưu triệu chứng/chẩn đoán/ICD10.</x:t>
        </x:is>
      </x:c>
      <x:c r="D3" s="151" t="inlineStr">
        <x:is>
          <x:t xml:space="preserve">VP1,VP2,VP3</x:t>
        </x:is>
      </x:c>
    </x:row>
    <x:row r="4" ht="82" customHeight="1">
      <x:c r="A4" s="152">
        <x:v>2</x:v>
      </x:c>
      <x:c r="B4" s="151" t="inlineStr">
        <x:is>
          <x:t xml:space="preserve">Lưu nháp hồ sơ.</x:t>
        </x:is>
      </x:c>
      <x:c r="C4" s="151" t="inlineStr">
        <x:is>
          <x:t xml:space="preserve">Status DRAFT; có thể sửa tiếp.</x:t>
        </x:is>
      </x:c>
      <x:c r="D4" s="151" t="inlineStr">
        <x:is>
          <x:t xml:space="preserve">VP6</x:t>
        </x:is>
      </x:c>
    </x:row>
    <x:row r="5" ht="82" customHeight="1">
      <x:c r="A5" s="152">
        <x:v>3</x:v>
      </x:c>
      <x:c r="B5" s="151" t="inlineStr">
        <x:is>
          <x:t xml:space="preserve">Kê đơn hợp lệ.</x:t>
        </x:is>
      </x:c>
      <x:c r="C5" s="151" t="inlineStr">
        <x:is>
          <x:t xml:space="preserve">Tạo prescription items đúng thuốc/liều.</x:t>
        </x:is>
      </x:c>
      <x:c r="D5" s="151" t="inlineStr">
        <x:is>
          <x:t xml:space="preserve">VP4,VP5</x:t>
        </x:is>
      </x:c>
    </x:row>
    <x:row r="6" ht="82" customHeight="1">
      <x:c r="A6" s="152">
        <x:v>4</x:v>
      </x:c>
      <x:c r="B6" s="151" t="inlineStr">
        <x:is>
          <x:t xml:space="preserve">ICD10 không tồn tại.</x:t>
        </x:is>
      </x:c>
      <x:c r="C6" s="151" t="inlineStr">
        <x:is>
          <x:t xml:space="preserve">404/400; không lưu chẩn đoán sai.</x:t>
        </x:is>
      </x:c>
      <x:c r="D6" s="151" t="inlineStr">
        <x:is>
          <x:t xml:space="preserve">IP3</x:t>
        </x:is>
      </x:c>
    </x:row>
    <x:row r="7" ht="82" customHeight="1">
      <x:c r="A7" s="152">
        <x:v>5</x:v>
      </x:c>
      <x:c r="B7" s="151" t="inlineStr">
        <x:is>
          <x:t xml:space="preserve">Số lượng thuốc bằng 0.</x:t>
        </x:is>
      </x:c>
      <x:c r="C7" s="151" t="inlineStr">
        <x:is>
          <x:t xml:space="preserve">400; không tạo item.</x:t>
        </x:is>
      </x:c>
      <x:c r="D7" s="151" t="inlineStr">
        <x:is>
          <x:t xml:space="preserve">IP5,IB5</x:t>
        </x:is>
      </x:c>
    </x:row>
    <x:row r="8" ht="82" customHeight="1">
      <x:c r="A8" s="152">
        <x:v>6</x:v>
      </x:c>
      <x:c r="B8" s="151" t="inlineStr">
        <x:is>
          <x:t xml:space="preserve">Sửa hồ sơ COMPLETED.</x:t>
        </x:is>
      </x:c>
      <x:c r="C8" s="151" t="inlineStr">
        <x:is>
          <x:t xml:space="preserve">409/400; không thay đổi.</x:t>
        </x:is>
      </x:c>
      <x:c r="D8" s="151" t="inlineStr">
        <x:is>
          <x:t xml:space="preserve">IP1,IP6</x:t>
        </x:is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inlineStr">
        <x:is>
          <x:t xml:space="preserve">IT07 - Khám, chẩn đoán và kê đơn</x:t>
        </x:is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inlineStr">
        <x:is>
          <x:t xml:space="preserve">Visit -&gt; MedicalRecord -&gt; ICD10 -&gt; Prescription.</x:t>
        </x:is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f>COUNTIF(A12:A1000,"IT*")</x:f>
        <x:v>0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inlineStr">
        <x:is>
          <x:t xml:space="preserve">Test Case ID</x:t>
        </x:is>
      </x:c>
      <x:c r="B10" s="83" t="inlineStr">
        <x:is>
          <x:t xml:space="preserve">Test Case Description</x:t>
        </x:is>
      </x:c>
      <x:c r="C10" s="83" t="inlineStr">
        <x:is>
          <x:t xml:space="preserve">Test Case Procedure</x:t>
        </x:is>
      </x:c>
      <x:c r="D10" s="83" t="inlineStr">
        <x:is>
          <x:t xml:space="preserve">Expected Results</x:t>
        </x:is>
      </x:c>
      <x:c r="E10" s="83" t="inlineStr">
        <x:is>
          <x:t xml:space="preserve">Pre-conditions</x:t>
        </x:is>
      </x:c>
      <x:c r="F10" s="83" t="inlineStr">
        <x:is>
          <x:t xml:space="preserve">Round 1</x:t>
        </x:is>
      </x:c>
      <x:c r="G10" s="83" t="inlineStr">
        <x:is>
          <x:t xml:space="preserve">Test date</x:t>
        </x:is>
      </x:c>
      <x:c r="H10" s="83" t="inlineStr">
        <x:is>
          <x:t xml:space="preserve">Tester</x:t>
        </x:is>
      </x:c>
      <x:c r="I10" s="83" t="inlineStr">
        <x:is>
          <x:t xml:space="preserve">Round 2</x:t>
        </x:is>
      </x:c>
      <x:c r="J10" s="83" t="inlineStr">
        <x:is>
          <x:t xml:space="preserve">Test date</x:t>
        </x:is>
      </x:c>
      <x:c r="K10" s="83" t="inlineStr">
        <x:is>
          <x:t xml:space="preserve">Tester</x:t>
        </x:is>
      </x:c>
      <x:c r="L10" s="83" t="inlineStr">
        <x:is>
          <x:t xml:space="preserve">Round 3</x:t>
        </x:is>
      </x:c>
      <x:c r="M10" s="83" t="inlineStr">
        <x:is>
          <x:t xml:space="preserve">Test date</x:t>
        </x:is>
      </x:c>
      <x:c r="N10" s="83" t="inlineStr">
        <x:is>
          <x:t xml:space="preserve">Tester</x:t>
        </x:is>
      </x:c>
      <x:c r="O10" s="83" t="inlineStr">
        <x:is>
          <x:t xml:space="preserve">Note</x:t>
        </x:is>
      </x:c>
      <x:c r="Q10" s="34"/>
    </x:row>
    <x:row r="11" s="30" customFormat="1" ht="18" customHeight="1">
      <x:c r="A11" s="79" t="inlineStr">
        <x:is>
          <x:t xml:space="preserve">Luồng hợp lệ</x:t>
        </x:is>
      </x:c>
      <x:c r="Q11" s="38"/>
    </x:row>
    <x:row r="12" s="44" customFormat="1" ht="105" customHeight="1">
      <x:c r="A12" s="39" t="inlineStr">
        <x:is>
          <x:t xml:space="preserve">IT07-001</x:t>
        </x:is>
      </x:c>
      <x:c r="B12" s="39" t="inlineStr">
        <x:is>
          <x:t xml:space="preserve">Ghi nhận khám</x:t>
        </x:is>
      </x:c>
      <x:c r="C12" s="39" t="inlineStr">
        <x:is>
          <x:t xml:space="preserve">PUT /api/doctor/examinations/{id}.</x:t>
        </x:is>
      </x:c>
      <x:c r="D12" s="45" t="inlineStr">
        <x:is>
          <x:t xml:space="preserve">Record lưu triệu chứng, diagnosis và ICD10.</x:t>
        </x:is>
      </x:c>
      <x:c r="E12" s="39" t="inlineStr">
        <x:is>
          <x:t xml:space="preserve">Doctor đúng record.</x:t>
        </x:is>
      </x:c>
      <x:c r="F12" s="39" t="inlineStr">
        <x:is>
          <x:t xml:space="preserve">Pending</x:t>
        </x:is>
      </x:c>
      <x:c r="I12" s="39" t="inlineStr">
        <x:is>
          <x:t xml:space="preserve">Pending</x:t>
        </x:is>
      </x:c>
      <x:c r="L12" s="39" t="inlineStr">
        <x:is>
          <x:t xml:space="preserve">Pending</x:t>
        </x:is>
      </x:c>
      <x:c r="O12" s="39" t="inlineStr">
        <x:is>
          <x:t xml:space="preserve">VP1,VP2,VP3</x:t>
        </x:is>
      </x:c>
      <x:c r="Q12" s="43"/>
    </x:row>
    <x:row r="13" ht="105" customHeight="1">
      <x:c r="A13" s="39" t="inlineStr">
        <x:is>
          <x:t xml:space="preserve">IT07-002</x:t>
        </x:is>
      </x:c>
      <x:c r="B13" s="39" t="inlineStr">
        <x:is>
          <x:t xml:space="preserve">Lưu nháp</x:t>
        </x:is>
      </x:c>
      <x:c r="C13" s="39" t="inlineStr">
        <x:is>
          <x:t xml:space="preserve">POST /medical-records/{id}/draft.</x:t>
        </x:is>
      </x:c>
      <x:c r="D13" s="45" t="inlineStr">
        <x:is>
          <x:t xml:space="preserve">MedicalRecord DRAFT, dữ liệu giữ nguyên.</x:t>
        </x:is>
      </x:c>
      <x:c r="E13" s="39" t="inlineStr">
        <x:is>
          <x:t xml:space="preserve">Record IN_PROGRESS.</x:t>
        </x:is>
      </x:c>
      <x:c r="F13" s="39" t="inlineStr">
        <x:is>
          <x:t xml:space="preserve">Pending</x:t>
        </x:is>
      </x:c>
      <x:c r="I13" s="39" t="inlineStr">
        <x:is>
          <x:t xml:space="preserve">Pending</x:t>
        </x:is>
      </x:c>
      <x:c r="L13" s="39" t="inlineStr">
        <x:is>
          <x:t xml:space="preserve">Pending</x:t>
        </x:is>
      </x:c>
      <x:c r="O13" s="39" t="inlineStr">
        <x:is>
          <x:t xml:space="preserve">VP6</x:t>
        </x:is>
      </x:c>
      <x:c r="Q13" s="43"/>
    </x:row>
    <x:row r="14" ht="18" customHeight="1">
      <x:c r="A14" s="79" t="inlineStr">
        <x:is>
          <x:t xml:space="preserve">Validation nghiệp vụ</x:t>
        </x:is>
      </x:c>
      <x:c r="Q14" s="43"/>
    </x:row>
    <x:row r="15" s="30" customFormat="1" ht="105" customHeight="1">
      <x:c r="A15" s="39" t="inlineStr">
        <x:is>
          <x:t xml:space="preserve">IT07-003</x:t>
        </x:is>
      </x:c>
      <x:c r="B15" s="39" t="inlineStr">
        <x:is>
          <x:t xml:space="preserve">Kê đơn</x:t>
        </x:is>
      </x:c>
      <x:c r="C15" s="39" t="inlineStr">
        <x:is>
          <x:t xml:space="preserve">Cập nhật record với medicine và quantity hợp lệ.</x:t>
        </x:is>
      </x:c>
      <x:c r="D15" s="45" t="inlineStr">
        <x:is>
          <x:t xml:space="preserve">PrescriptionItem được tạo đúng.</x:t>
        </x:is>
      </x:c>
      <x:c r="E15" s="39" t="inlineStr">
        <x:is>
          <x:t xml:space="preserve">Medicine active.</x:t>
        </x:is>
      </x:c>
      <x:c r="F15" s="39" t="inlineStr">
        <x:is>
          <x:t xml:space="preserve">Pending</x:t>
        </x:is>
      </x:c>
      <x:c r="I15" s="39" t="inlineStr">
        <x:is>
          <x:t xml:space="preserve">Pending</x:t>
        </x:is>
      </x:c>
      <x:c r="L15" s="39" t="inlineStr">
        <x:is>
          <x:t xml:space="preserve">Pending</x:t>
        </x:is>
      </x:c>
      <x:c r="O15" s="39" t="inlineStr">
        <x:is>
          <x:t xml:space="preserve">VP4,VP5</x:t>
        </x:is>
      </x:c>
      <x:c r="Q15" s="38"/>
    </x:row>
    <x:row r="16" ht="105" customHeight="1">
      <x:c r="A16" s="39" t="inlineStr">
        <x:is>
          <x:t xml:space="preserve">IT07-004</x:t>
        </x:is>
      </x:c>
      <x:c r="B16" s="39" t="inlineStr">
        <x:is>
          <x:t xml:space="preserve">Sai mã ICD10</x:t>
        </x:is>
      </x:c>
      <x:c r="C16" s="39" t="inlineStr">
        <x:is>
          <x:t xml:space="preserve">Chọn ICD10 không tồn tại.</x:t>
        </x:is>
      </x:c>
      <x:c r="D16" s="45" t="inlineStr">
        <x:is>
          <x:t xml:space="preserve">404/400; không liên kết mã sai.</x:t>
        </x:is>
      </x:c>
      <x:c r="E16" s="39" t="inlineStr">
        <x:is>
          <x:t xml:space="preserve">Record editable.</x:t>
        </x:is>
      </x:c>
      <x:c r="F16" s="39" t="inlineStr">
        <x:is>
          <x:t xml:space="preserve">Pending</x:t>
        </x:is>
      </x:c>
      <x:c r="I16" s="39" t="inlineStr">
        <x:is>
          <x:t xml:space="preserve">Pending</x:t>
        </x:is>
      </x:c>
      <x:c r="L16" s="39" t="inlineStr">
        <x:is>
          <x:t xml:space="preserve">Pending</x:t>
        </x:is>
      </x:c>
      <x:c r="O16" s="39" t="inlineStr">
        <x:is>
          <x:t xml:space="preserve">IP3</x:t>
        </x:is>
      </x:c>
      <x:c r="Q16" s="43"/>
    </x:row>
    <x:row r="17" ht="18">
      <x:c r="A17" s="79" t="inlineStr">
        <x:is>
          <x:t xml:space="preserve">Quyền/trạng thái biên</x:t>
        </x:is>
      </x:c>
    </x:row>
    <x:row r="18" ht="105" customHeight="1">
      <x:c r="A18" s="39" t="inlineStr">
        <x:is>
          <x:t xml:space="preserve">IT07-005</x:t>
        </x:is>
      </x:c>
      <x:c r="B18" s="39" t="inlineStr">
        <x:is>
          <x:t xml:space="preserve">Số lượng thuốc 0</x:t>
        </x:is>
      </x:c>
      <x:c r="C18" s="39" t="inlineStr">
        <x:is>
          <x:t xml:space="preserve">Kê thuốc quantity=0.</x:t>
        </x:is>
      </x:c>
      <x:c r="D18" s="45" t="inlineStr">
        <x:is>
          <x:t xml:space="preserve">400; không tạo item.</x:t>
        </x:is>
      </x:c>
      <x:c r="E18" s="39" t="inlineStr">
        <x:is>
          <x:t xml:space="preserve">Medicine active.</x:t>
        </x:is>
      </x:c>
      <x:c r="F18" s="39" t="inlineStr">
        <x:is>
          <x:t xml:space="preserve">Pending</x:t>
        </x:is>
      </x:c>
      <x:c r="I18" s="39" t="inlineStr">
        <x:is>
          <x:t xml:space="preserve">Pending</x:t>
        </x:is>
      </x:c>
      <x:c r="L18" s="39" t="inlineStr">
        <x:is>
          <x:t xml:space="preserve">Pending</x:t>
        </x:is>
      </x:c>
      <x:c r="O18" s="39" t="inlineStr">
        <x:is>
          <x:t xml:space="preserve">IP5,IB5</x:t>
        </x:is>
      </x:c>
    </x:row>
    <x:row r="19" s="44" customFormat="1" ht="105" customHeight="1">
      <x:c r="A19" s="39" t="inlineStr">
        <x:is>
          <x:t xml:space="preserve">IT07-006</x:t>
        </x:is>
      </x:c>
      <x:c r="B19" s="39" t="inlineStr">
        <x:is>
          <x:t xml:space="preserve">Sửa hồ sơ hoàn tất</x:t>
        </x:is>
      </x:c>
      <x:c r="C19" s="39" t="inlineStr">
        <x:is>
          <x:t xml:space="preserve">PUT record COMPLETED.</x:t>
        </x:is>
      </x:c>
      <x:c r="D19" s="45" t="inlineStr">
        <x:is>
          <x:t xml:space="preserve">409/400; dữ liệu không đổi.</x:t>
        </x:is>
      </x:c>
      <x:c r="E19" s="39" t="inlineStr">
        <x:is>
          <x:t xml:space="preserve">Record COMPLETED.</x:t>
        </x:is>
      </x:c>
      <x:c r="F19" s="39" t="inlineStr">
        <x:is>
          <x:t xml:space="preserve">Pending</x:t>
        </x:is>
      </x:c>
      <x:c r="I19" s="39" t="inlineStr">
        <x:is>
          <x:t xml:space="preserve">Pending</x:t>
        </x:is>
      </x:c>
      <x:c r="L19" s="39" t="inlineStr">
        <x:is>
          <x:t xml:space="preserve">Pending</x:t>
        </x:is>
      </x:c>
      <x:c r="O19" s="39" t="inlineStr">
        <x:is>
          <x:t xml:space="preserve">IP1,IP6</x:t>
        </x:is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1c7605e52e554eb9"/>
</x:worksheet>
</file>

<file path=xl/worksheets/sheet29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inlineStr">
        <x:is>
          <x:t xml:space="preserve">Test Condition Analysis</x:t>
        </x:is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inlineStr">
        <x:is>
          <x:t xml:space="preserve">Condition</x:t>
        </x:is>
      </x:c>
      <x:c r="B2" s="83" t="inlineStr">
        <x:is>
          <x:t xml:space="preserve">Valid Partitions</x:t>
        </x:is>
      </x:c>
      <x:c r="C2" s="83" t="inlineStr">
        <x:is>
          <x:t xml:space="preserve">Tag</x:t>
        </x:is>
      </x:c>
      <x:c r="D2" s="83" t="inlineStr">
        <x:is>
          <x:t xml:space="preserve">Invalid Partitions</x:t>
        </x:is>
      </x:c>
      <x:c r="E2" s="83" t="inlineStr">
        <x:is>
          <x:t xml:space="preserve">Tag</x:t>
        </x:is>
      </x:c>
      <x:c r="F2" s="83" t="inlineStr">
        <x:is>
          <x:t xml:space="preserve">Valid Boundaries</x:t>
        </x:is>
      </x:c>
      <x:c r="G2" s="83" t="inlineStr">
        <x:is>
          <x:t xml:space="preserve">Tag</x:t>
        </x:is>
      </x:c>
      <x:c r="H2" s="83" t="inlineStr">
        <x:is>
          <x:t xml:space="preserve">Invalid Boundaries</x:t>
        </x:is>
      </x:c>
      <x:c r="I2" s="83" t="inlineStr">
        <x:is>
          <x:t xml:space="preserve">Tag</x:t>
        </x:is>
      </x:c>
    </x:row>
    <x:row r="3" ht="42" customHeight="1">
      <x:c r="A3" s="130" t="inlineStr">
        <x:is>
          <x:t xml:space="preserve">record</x:t>
        </x:is>
      </x:c>
      <x:c r="B3" s="129" t="inlineStr">
        <x:is>
          <x:t xml:space="preserve">Record/Visit tồn tại</x:t>
        </x:is>
      </x:c>
      <x:c r="C3" s="129" t="inlineStr">
        <x:is>
          <x:t xml:space="preserve">VP1</x:t>
        </x:is>
      </x:c>
      <x:c r="D3" s="129" t="inlineStr">
        <x:is>
          <x:t xml:space="preserve">Không tồn tại/không Visit</x:t>
        </x:is>
      </x:c>
      <x:c r="E3" s="129" t="inlineStr">
        <x:is>
          <x:t xml:space="preserve">IP1</x:t>
        </x:is>
      </x:c>
      <x:c r="F3" s="129" t="inlineStr">
        <x:is>
          <x:t xml:space="preserve">N/A</x:t>
        </x:is>
      </x:c>
      <x:c r="G3" s="129" t="inlineStr">
        <x:is>
          <x:t xml:space="preserve">VB1</x:t>
        </x:is>
      </x:c>
      <x:c r="H3" s="129" t="inlineStr">
        <x:is>
          <x:t xml:space="preserve">Null</x:t>
        </x:is>
      </x:c>
      <x:c r="I3" s="129" t="inlineStr">
        <x:is>
          <x:t xml:space="preserve">IB1</x:t>
        </x:is>
      </x:c>
    </x:row>
    <x:row r="4" ht="42" customHeight="1">
      <x:c r="A4" s="130" t="inlineStr">
        <x:is>
          <x:t xml:space="preserve">service</x:t>
        </x:is>
      </x:c>
      <x:c r="B4" s="129" t="inlineStr">
        <x:is>
          <x:t xml:space="preserve">Dịch vụ CLS tồn tại</x:t>
        </x:is>
      </x:c>
      <x:c r="C4" s="129" t="inlineStr">
        <x:is>
          <x:t xml:space="preserve">VP2</x:t>
        </x:is>
      </x:c>
      <x:c r="D4" s="129" t="inlineStr">
        <x:is>
          <x:t xml:space="preserve">Không tồn tại/inactive</x:t>
        </x:is>
      </x:c>
      <x:c r="E4" s="129" t="inlineStr">
        <x:is>
          <x:t xml:space="preserve">IP2</x:t>
        </x:is>
      </x:c>
      <x:c r="F4" s="129" t="inlineStr">
        <x:is>
          <x:t xml:space="preserve">1 service</x:t>
        </x:is>
      </x:c>
      <x:c r="G4" s="129" t="inlineStr">
        <x:is>
          <x:t xml:space="preserve">VB2</x:t>
        </x:is>
      </x:c>
      <x:c r="H4" s="129" t="inlineStr">
        <x:is>
          <x:t xml:space="preserve">0 service</x:t>
        </x:is>
      </x:c>
      <x:c r="I4" s="129" t="inlineStr">
        <x:is>
          <x:t xml:space="preserve">IB2</x:t>
        </x:is>
      </x:c>
    </x:row>
    <x:row r="5" ht="42" customHeight="1">
      <x:c r="A5" s="130" t="inlineStr">
        <x:is>
          <x:t xml:space="preserve">capability</x:t>
        </x:is>
      </x:c>
      <x:c r="B5" s="129" t="inlineStr">
        <x:is>
          <x:t xml:space="preserve">Có khoa active hỗ trợ</x:t>
        </x:is>
      </x:c>
      <x:c r="C5" s="129" t="inlineStr">
        <x:is>
          <x:t xml:space="preserve">VP3</x:t>
        </x:is>
      </x:c>
      <x:c r="D5" s="129" t="inlineStr">
        <x:is>
          <x:t xml:space="preserve">Không có khoa/maintenance</x:t>
        </x:is>
      </x:c>
      <x:c r="E5" s="129" t="inlineStr">
        <x:is>
          <x:t xml:space="preserve">IP3</x:t>
        </x:is>
      </x:c>
      <x:c r="F5" s="129" t="inlineStr">
        <x:is>
          <x:t xml:space="preserve">1 khoa</x:t>
        </x:is>
      </x:c>
      <x:c r="G5" s="129" t="inlineStr">
        <x:is>
          <x:t xml:space="preserve">VB3</x:t>
        </x:is>
      </x:c>
      <x:c r="H5" s="129" t="inlineStr">
        <x:is>
          <x:t xml:space="preserve">0 khoa</x:t>
        </x:is>
      </x:c>
      <x:c r="I5" s="129" t="inlineStr">
        <x:is>
          <x:t xml:space="preserve">IB3</x:t>
        </x:is>
      </x:c>
    </x:row>
    <x:row r="6" ht="42" customHeight="1">
      <x:c r="A6" s="130" t="inlineStr">
        <x:is>
          <x:t xml:space="preserve">duplicate</x:t>
        </x:is>
      </x:c>
      <x:c r="B6" s="129" t="inlineStr">
        <x:is>
          <x:t xml:space="preserve">Chưa chỉ định trong Visit</x:t>
        </x:is>
      </x:c>
      <x:c r="C6" s="129" t="inlineStr">
        <x:is>
          <x:t xml:space="preserve">VP4</x:t>
        </x:is>
      </x:c>
      <x:c r="D6" s="129" t="inlineStr">
        <x:is>
          <x:t xml:space="preserve">Đã có chưa CANCELLED</x:t>
        </x:is>
      </x:c>
      <x:c r="E6" s="129" t="inlineStr">
        <x:is>
          <x:t xml:space="preserve">IP4</x:t>
        </x:is>
      </x:c>
      <x:c r="F6" s="129" t="inlineStr">
        <x:is>
          <x:t xml:space="preserve">N/A</x:t>
        </x:is>
      </x:c>
      <x:c r="G6" s="129" t="inlineStr">
        <x:is>
          <x:t xml:space="preserve">VB4</x:t>
        </x:is>
      </x:c>
      <x:c r="H6" s="129" t="inlineStr">
        <x:is>
          <x:t xml:space="preserve">N/A</x:t>
        </x:is>
      </x:c>
      <x:c r="I6" s="129" t="inlineStr">
        <x:is>
          <x:t xml:space="preserve">IB4</x:t>
        </x:is>
      </x:c>
    </x:row>
    <x:row r="7" ht="42" customHeight="1">
      <x:c r="A7" s="130" t="inlineStr">
        <x:is>
          <x:t xml:space="preserve">batch services</x:t>
        </x:is>
      </x:c>
      <x:c r="B7" s="129" t="inlineStr">
        <x:is>
          <x:t xml:space="preserve">Danh sách không rỗng, distinct</x:t>
        </x:is>
      </x:c>
      <x:c r="C7" s="129" t="inlineStr">
        <x:is>
          <x:t xml:space="preserve">VP5</x:t>
        </x:is>
      </x:c>
      <x:c r="D7" s="129" t="inlineStr">
        <x:is>
          <x:t xml:space="preserve">Rỗng/null</x:t>
        </x:is>
      </x:c>
      <x:c r="E7" s="129" t="inlineStr">
        <x:is>
          <x:t xml:space="preserve">IP5</x:t>
        </x:is>
      </x:c>
      <x:c r="F7" s="129" t="inlineStr">
        <x:is>
          <x:t xml:space="preserve">1 phần tử</x:t>
        </x:is>
      </x:c>
      <x:c r="G7" s="129" t="inlineStr">
        <x:is>
          <x:t xml:space="preserve">VB5</x:t>
        </x:is>
      </x:c>
      <x:c r="H7" s="129" t="inlineStr">
        <x:is>
          <x:t xml:space="preserve">0 phần tử</x:t>
        </x:is>
      </x:c>
      <x:c r="I7" s="129" t="inlineStr">
        <x:is>
          <x:t xml:space="preserve">IB5</x:t>
        </x:is>
      </x:c>
    </x:row>
    <x:row r="8" ht="42" customHeight="1">
      <x:c r="A8" s="130" t="inlineStr">
        <x:is>
          <x:t xml:space="preserve">queue sequence</x:t>
        </x:is>
      </x:c>
      <x:c r="B8" s="129" t="inlineStr">
        <x:is>
          <x:t xml:space="preserve">Bước đầu WAITING, sau BLOCKED</x:t>
        </x:is>
      </x:c>
      <x:c r="C8" s="129" t="inlineStr">
        <x:is>
          <x:t xml:space="preserve">VP6</x:t>
        </x:is>
      </x:c>
      <x:c r="D8" s="129" t="inlineStr">
        <x:is>
          <x:t xml:space="preserve">Mở sai thứ tự</x:t>
        </x:is>
      </x:c>
      <x:c r="E8" s="129" t="inlineStr">
        <x:is>
          <x:t xml:space="preserve">IP6</x:t>
        </x:is>
      </x:c>
      <x:c r="F8" s="129" t="inlineStr">
        <x:is>
          <x:t xml:space="preserve">N/A</x:t>
        </x:is>
      </x:c>
      <x:c r="G8" s="129" t="inlineStr">
        <x:is>
          <x:t xml:space="preserve">VB6</x:t>
        </x:is>
      </x:c>
      <x:c r="H8" s="129" t="inlineStr">
        <x:is>
          <x:t xml:space="preserve">N/A</x:t>
        </x:is>
      </x:c>
      <x:c r="I8" s="129" t="inlineStr">
        <x:is>
          <x:t xml:space="preserve">IB6</x:t>
        </x:is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inlineStr">
        <x:is>
          <x:t xml:space="preserve">* Notes:</x:t>
        </x:is>
      </x:c>
      <x:c r="B27" s="141" t="inlineStr">
        <x:is>
          <x:t xml:space="preserve">Đối chiếu tag VP/IP/VB/IB với Test Design.</x:t>
        </x:is>
      </x:c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inlineStr">
        <x:is>
          <x:t xml:space="preserve">Test case design</x:t>
        </x:is>
      </x:c>
      <x:c r="B1" s="172"/>
      <x:c r="C1" s="172"/>
      <x:c r="D1" s="172"/>
    </x:row>
    <x:row r="2" ht="25.5">
      <x:c r="A2" s="83" t="inlineStr">
        <x:is>
          <x:t xml:space="preserve">Test-case No</x:t>
        </x:is>
      </x:c>
      <x:c r="B2" s="83" t="inlineStr">
        <x:is>
          <x:t xml:space="preserve">Description</x:t>
        </x:is>
      </x:c>
      <x:c r="C2" s="83" t="inlineStr">
        <x:is>
          <x:t xml:space="preserve">Expected result</x:t>
        </x:is>
      </x:c>
      <x:c r="D2" s="83" t="inlineStr">
        <x:is>
          <x:t xml:space="preserve">TAG</x:t>
        </x:is>
      </x:c>
    </x:row>
    <x:row r="3" ht="82" customHeight="1">
      <x:c r="A3" s="152">
        <x:v>1</x:v>
      </x:c>
      <x:c r="B3" s="151" t="inlineStr">
        <x:is>
          <x:t xml:space="preserve">Tạo một chỉ định hợp lệ.</x:t>
        </x:is>
      </x:c>
      <x:c r="C3" s="151" t="inlineStr">
        <x:is>
          <x:t xml:space="preserve">Request PENDING; chọn khoa; tạo queue.</x:t>
        </x:is>
      </x:c>
      <x:c r="D3" s="151" t="inlineStr">
        <x:is>
          <x:t xml:space="preserve">VP1,VP2,VP3,VP4</x:t>
        </x:is>
      </x:c>
    </x:row>
    <x:row r="4" ht="82" customHeight="1">
      <x:c r="A4" s="152">
        <x:v>2</x:v>
      </x:c>
      <x:c r="B4" s="151" t="inlineStr">
        <x:is>
          <x:t xml:space="preserve">Tạo batch nhiều dịch vụ.</x:t>
        </x:is>
      </x:c>
      <x:c r="C4" s="151" t="inlineStr">
        <x:is>
          <x:t xml:space="preserve">Mỗi dịch vụ unique có request; queue dùng chung theo khoa.</x:t>
        </x:is>
      </x:c>
      <x:c r="D4" s="151" t="inlineStr">
        <x:is>
          <x:t xml:space="preserve">VP5</x:t>
        </x:is>
      </x:c>
    </x:row>
    <x:row r="5" ht="82" customHeight="1">
      <x:c r="A5" s="152">
        <x:v>3</x:v>
      </x:c>
      <x:c r="B5" s="151" t="inlineStr">
        <x:is>
          <x:t xml:space="preserve">Dịch vụ không có khoa phù hợp.</x:t>
        </x:is>
      </x:c>
      <x:c r="C5" s="151" t="inlineStr">
        <x:is>
          <x:t xml:space="preserve">404/400; không tạo request.</x:t>
        </x:is>
      </x:c>
      <x:c r="D5" s="151" t="inlineStr">
        <x:is>
          <x:t xml:space="preserve">IP3</x:t>
        </x:is>
      </x:c>
    </x:row>
    <x:row r="6" ht="82" customHeight="1">
      <x:c r="A6" s="152">
        <x:v>4</x:v>
      </x:c>
      <x:c r="B6" s="151" t="inlineStr">
        <x:is>
          <x:t xml:space="preserve">Chỉ định trùng trong Visit.</x:t>
        </x:is>
      </x:c>
      <x:c r="C6" s="151" t="inlineStr">
        <x:is>
          <x:t xml:space="preserve">409; không duplicate.</x:t>
        </x:is>
      </x:c>
      <x:c r="D6" s="151" t="inlineStr">
        <x:is>
          <x:t xml:space="preserve">IP4</x:t>
        </x:is>
      </x:c>
    </x:row>
    <x:row r="7" ht="82" customHeight="1">
      <x:c r="A7" s="152">
        <x:v>5</x:v>
      </x:c>
      <x:c r="B7" s="151" t="inlineStr">
        <x:is>
          <x:t xml:space="preserve">Batch rỗng.</x:t>
        </x:is>
      </x:c>
      <x:c r="C7" s="151" t="inlineStr">
        <x:is>
          <x:t xml:space="preserve">400 validation.</x:t>
        </x:is>
      </x:c>
      <x:c r="D7" s="151" t="inlineStr">
        <x:is>
          <x:t xml:space="preserve">IP5,IB5</x:t>
        </x:is>
      </x:c>
    </x:row>
    <x:row r="8" ht="82" customHeight="1">
      <x:c r="A8" s="152">
        <x:v>6</x:v>
      </x:c>
      <x:c r="B8" s="151" t="inlineStr">
        <x:is>
          <x:t xml:space="preserve">Nhiều khoa trong hành trình.</x:t>
        </x:is>
      </x:c>
      <x:c r="C8" s="151" t="inlineStr">
        <x:is>
          <x:t xml:space="preserve">Chỉ bước đầu WAITING; bước sau BLOCKED.</x:t>
        </x:is>
      </x:c>
      <x:c r="D8" s="151" t="inlineStr">
        <x:is>
          <x:t xml:space="preserve">VP6</x:t>
        </x:is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inlineStr">
        <x:is>
          <x:t xml:space="preserve">IT08 - Chỉ định cận lâm sàng</x:t>
        </x:is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inlineStr">
        <x:is>
          <x:t xml:space="preserve">MedicalRecord -&gt; TestRequest -&gt; Department -&gt; QueueTicket.</x:t>
        </x:is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f>COUNTIF(A12:A1000,"IT*")</x:f>
        <x:v>0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inlineStr">
        <x:is>
          <x:t xml:space="preserve">Test Case ID</x:t>
        </x:is>
      </x:c>
      <x:c r="B10" s="83" t="inlineStr">
        <x:is>
          <x:t xml:space="preserve">Test Case Description</x:t>
        </x:is>
      </x:c>
      <x:c r="C10" s="83" t="inlineStr">
        <x:is>
          <x:t xml:space="preserve">Test Case Procedure</x:t>
        </x:is>
      </x:c>
      <x:c r="D10" s="83" t="inlineStr">
        <x:is>
          <x:t xml:space="preserve">Expected Results</x:t>
        </x:is>
      </x:c>
      <x:c r="E10" s="83" t="inlineStr">
        <x:is>
          <x:t xml:space="preserve">Pre-conditions</x:t>
        </x:is>
      </x:c>
      <x:c r="F10" s="83" t="inlineStr">
        <x:is>
          <x:t xml:space="preserve">Round 1</x:t>
        </x:is>
      </x:c>
      <x:c r="G10" s="83" t="inlineStr">
        <x:is>
          <x:t xml:space="preserve">Test date</x:t>
        </x:is>
      </x:c>
      <x:c r="H10" s="83" t="inlineStr">
        <x:is>
          <x:t xml:space="preserve">Tester</x:t>
        </x:is>
      </x:c>
      <x:c r="I10" s="83" t="inlineStr">
        <x:is>
          <x:t xml:space="preserve">Round 2</x:t>
        </x:is>
      </x:c>
      <x:c r="J10" s="83" t="inlineStr">
        <x:is>
          <x:t xml:space="preserve">Test date</x:t>
        </x:is>
      </x:c>
      <x:c r="K10" s="83" t="inlineStr">
        <x:is>
          <x:t xml:space="preserve">Tester</x:t>
        </x:is>
      </x:c>
      <x:c r="L10" s="83" t="inlineStr">
        <x:is>
          <x:t xml:space="preserve">Round 3</x:t>
        </x:is>
      </x:c>
      <x:c r="M10" s="83" t="inlineStr">
        <x:is>
          <x:t xml:space="preserve">Test date</x:t>
        </x:is>
      </x:c>
      <x:c r="N10" s="83" t="inlineStr">
        <x:is>
          <x:t xml:space="preserve">Tester</x:t>
        </x:is>
      </x:c>
      <x:c r="O10" s="83" t="inlineStr">
        <x:is>
          <x:t xml:space="preserve">Note</x:t>
        </x:is>
      </x:c>
      <x:c r="Q10" s="34"/>
    </x:row>
    <x:row r="11" s="30" customFormat="1" ht="18" customHeight="1">
      <x:c r="A11" s="79" t="inlineStr">
        <x:is>
          <x:t xml:space="preserve">Luồng hợp lệ</x:t>
        </x:is>
      </x:c>
      <x:c r="Q11" s="38"/>
    </x:row>
    <x:row r="12" s="44" customFormat="1" ht="105" customHeight="1">
      <x:c r="A12" s="39" t="inlineStr">
        <x:is>
          <x:t xml:space="preserve">IT08-001</x:t>
        </x:is>
      </x:c>
      <x:c r="B12" s="39" t="inlineStr">
        <x:is>
          <x:t xml:space="preserve">Tạo chỉ định đơn</x:t>
        </x:is>
      </x:c>
      <x:c r="C12" s="39" t="inlineStr">
        <x:is>
          <x:t xml:space="preserve">POST /api/v1/test-requests.</x:t>
        </x:is>
      </x:c>
      <x:c r="D12" s="45" t="inlineStr">
        <x:is>
          <x:t xml:space="preserve">201; request PENDING và queue đúng khoa.</x:t>
        </x:is>
      </x:c>
      <x:c r="E12" s="39" t="inlineStr">
        <x:is>
          <x:t xml:space="preserve">Record/Service hợp lệ.</x:t>
        </x:is>
      </x:c>
      <x:c r="F12" s="39" t="inlineStr">
        <x:is>
          <x:t xml:space="preserve">Pending</x:t>
        </x:is>
      </x:c>
      <x:c r="I12" s="39" t="inlineStr">
        <x:is>
          <x:t xml:space="preserve">Pending</x:t>
        </x:is>
      </x:c>
      <x:c r="L12" s="39" t="inlineStr">
        <x:is>
          <x:t xml:space="preserve">Pending</x:t>
        </x:is>
      </x:c>
      <x:c r="O12" s="39" t="inlineStr">
        <x:is>
          <x:t xml:space="preserve">VP1,VP2,VP3,VP4</x:t>
        </x:is>
      </x:c>
      <x:c r="Q12" s="43"/>
    </x:row>
    <x:row r="13" ht="105" customHeight="1">
      <x:c r="A13" s="39" t="inlineStr">
        <x:is>
          <x:t xml:space="preserve">IT08-002</x:t>
        </x:is>
      </x:c>
      <x:c r="B13" s="39" t="inlineStr">
        <x:is>
          <x:t xml:space="preserve">Tạo batch</x:t>
        </x:is>
      </x:c>
      <x:c r="C13" s="39" t="inlineStr">
        <x:is>
          <x:t xml:space="preserve">POST /test-requests/batch với nhiều serviceIds.</x:t>
        </x:is>
      </x:c>
      <x:c r="D13" s="45" t="inlineStr">
        <x:is>
          <x:t xml:space="preserve">Tạo request distinct; dùng chung queue cùng khoa.</x:t>
        </x:is>
      </x:c>
      <x:c r="E13" s="39" t="inlineStr">
        <x:is>
          <x:t xml:space="preserve">Record active.</x:t>
        </x:is>
      </x:c>
      <x:c r="F13" s="39" t="inlineStr">
        <x:is>
          <x:t xml:space="preserve">Pending</x:t>
        </x:is>
      </x:c>
      <x:c r="I13" s="39" t="inlineStr">
        <x:is>
          <x:t xml:space="preserve">Pending</x:t>
        </x:is>
      </x:c>
      <x:c r="L13" s="39" t="inlineStr">
        <x:is>
          <x:t xml:space="preserve">Pending</x:t>
        </x:is>
      </x:c>
      <x:c r="O13" s="39" t="inlineStr">
        <x:is>
          <x:t xml:space="preserve">VP5</x:t>
        </x:is>
      </x:c>
      <x:c r="Q13" s="43"/>
    </x:row>
    <x:row r="14" ht="18" customHeight="1">
      <x:c r="A14" s="79" t="inlineStr">
        <x:is>
          <x:t xml:space="preserve">Validation nghiệp vụ</x:t>
        </x:is>
      </x:c>
      <x:c r="Q14" s="43"/>
    </x:row>
    <x:row r="15" s="30" customFormat="1" ht="105" customHeight="1">
      <x:c r="A15" s="39" t="inlineStr">
        <x:is>
          <x:t xml:space="preserve">IT08-003</x:t>
        </x:is>
      </x:c>
      <x:c r="B15" s="39" t="inlineStr">
        <x:is>
          <x:t xml:space="preserve">Không có khoa phù hợp</x:t>
        </x:is>
      </x:c>
      <x:c r="C15" s="39" t="inlineStr">
        <x:is>
          <x:t xml:space="preserve">Chỉ định service thiếu capability/khoa active.</x:t>
        </x:is>
      </x:c>
      <x:c r="D15" s="45" t="inlineStr">
        <x:is>
          <x:t xml:space="preserve">404/400; không tạo request.</x:t>
        </x:is>
      </x:c>
      <x:c r="E15" s="39" t="inlineStr">
        <x:is>
          <x:t xml:space="preserve">Service cấu hình lỗi.</x:t>
        </x:is>
      </x:c>
      <x:c r="F15" s="39" t="inlineStr">
        <x:is>
          <x:t xml:space="preserve">Pending</x:t>
        </x:is>
      </x:c>
      <x:c r="I15" s="39" t="inlineStr">
        <x:is>
          <x:t xml:space="preserve">Pending</x:t>
        </x:is>
      </x:c>
      <x:c r="L15" s="39" t="inlineStr">
        <x:is>
          <x:t xml:space="preserve">Pending</x:t>
        </x:is>
      </x:c>
      <x:c r="O15" s="39" t="inlineStr">
        <x:is>
          <x:t xml:space="preserve">IP3</x:t>
        </x:is>
      </x:c>
      <x:c r="Q15" s="38"/>
    </x:row>
    <x:row r="16" ht="105" customHeight="1">
      <x:c r="A16" s="39" t="inlineStr">
        <x:is>
          <x:t xml:space="preserve">IT08-004</x:t>
        </x:is>
      </x:c>
      <x:c r="B16" s="39" t="inlineStr">
        <x:is>
          <x:t xml:space="preserve">Chỉ định trùng</x:t>
        </x:is>
      </x:c>
      <x:c r="C16" s="39" t="inlineStr">
        <x:is>
          <x:t xml:space="preserve">POST cùng service trong Visit.</x:t>
        </x:is>
      </x:c>
      <x:c r="D16" s="45" t="inlineStr">
        <x:is>
          <x:t xml:space="preserve">409; không duplicate.</x:t>
        </x:is>
      </x:c>
      <x:c r="E16" s="39" t="inlineStr">
        <x:is>
          <x:t xml:space="preserve">Request cũ chưa hủy.</x:t>
        </x:is>
      </x:c>
      <x:c r="F16" s="39" t="inlineStr">
        <x:is>
          <x:t xml:space="preserve">Pending</x:t>
        </x:is>
      </x:c>
      <x:c r="I16" s="39" t="inlineStr">
        <x:is>
          <x:t xml:space="preserve">Pending</x:t>
        </x:is>
      </x:c>
      <x:c r="L16" s="39" t="inlineStr">
        <x:is>
          <x:t xml:space="preserve">Pending</x:t>
        </x:is>
      </x:c>
      <x:c r="O16" s="39" t="inlineStr">
        <x:is>
          <x:t xml:space="preserve">IP4</x:t>
        </x:is>
      </x:c>
      <x:c r="Q16" s="43"/>
    </x:row>
    <x:row r="17" ht="18">
      <x:c r="A17" s="79" t="inlineStr">
        <x:is>
          <x:t xml:space="preserve">Quyền/trạng thái biên</x:t>
        </x:is>
      </x:c>
    </x:row>
    <x:row r="18" ht="105" customHeight="1">
      <x:c r="A18" s="39" t="inlineStr">
        <x:is>
          <x:t xml:space="preserve">IT08-005</x:t>
        </x:is>
      </x:c>
      <x:c r="B18" s="39" t="inlineStr">
        <x:is>
          <x:t xml:space="preserve">Batch rỗng</x:t>
        </x:is>
      </x:c>
      <x:c r="C18" s="39" t="inlineStr">
        <x:is>
          <x:t xml:space="preserve">POST serviceIds=[].</x:t>
        </x:is>
      </x:c>
      <x:c r="D18" s="45" t="inlineStr">
        <x:is>
          <x:t xml:space="preserve">400 validation.</x:t>
        </x:is>
      </x:c>
      <x:c r="E18" s="39" t="inlineStr">
        <x:is>
          <x:t xml:space="preserve">Record active.</x:t>
        </x:is>
      </x:c>
      <x:c r="F18" s="39" t="inlineStr">
        <x:is>
          <x:t xml:space="preserve">Pending</x:t>
        </x:is>
      </x:c>
      <x:c r="I18" s="39" t="inlineStr">
        <x:is>
          <x:t xml:space="preserve">Pending</x:t>
        </x:is>
      </x:c>
      <x:c r="L18" s="39" t="inlineStr">
        <x:is>
          <x:t xml:space="preserve">Pending</x:t>
        </x:is>
      </x:c>
      <x:c r="O18" s="39" t="inlineStr">
        <x:is>
          <x:t xml:space="preserve">IP5,IB5</x:t>
        </x:is>
      </x:c>
    </x:row>
    <x:row r="19" s="44" customFormat="1" ht="105" customHeight="1">
      <x:c r="A19" s="39" t="inlineStr">
        <x:is>
          <x:t xml:space="preserve">IT08-006</x:t>
        </x:is>
      </x:c>
      <x:c r="B19" s="39" t="inlineStr">
        <x:is>
          <x:t xml:space="preserve">Tuần tự nhiều khoa</x:t>
        </x:is>
      </x:c>
      <x:c r="C19" s="39" t="inlineStr">
        <x:is>
          <x:t xml:space="preserve">Tạo request ở hai khoa.</x:t>
        </x:is>
      </x:c>
      <x:c r="D19" s="45" t="inlineStr">
        <x:is>
          <x:t xml:space="preserve">Queue đầu WAITING; queue sau BLOCKED.</x:t>
        </x:is>
      </x:c>
      <x:c r="E19" s="39" t="inlineStr">
        <x:is>
          <x:t xml:space="preserve">Visit chưa có bước active khác.</x:t>
        </x:is>
      </x:c>
      <x:c r="F19" s="39" t="inlineStr">
        <x:is>
          <x:t xml:space="preserve">Pending</x:t>
        </x:is>
      </x:c>
      <x:c r="I19" s="39" t="inlineStr">
        <x:is>
          <x:t xml:space="preserve">Pending</x:t>
        </x:is>
      </x:c>
      <x:c r="L19" s="39" t="inlineStr">
        <x:is>
          <x:t xml:space="preserve">Pending</x:t>
        </x:is>
      </x:c>
      <x:c r="O19" s="39" t="inlineStr">
        <x:is>
          <x:t xml:space="preserve">VP6</x:t>
        </x:is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1d2f0a16708c4040"/>
</x:worksheet>
</file>

<file path=xl/worksheets/sheet32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inlineStr">
        <x:is>
          <x:t xml:space="preserve">Test Condition Analysis</x:t>
        </x:is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inlineStr">
        <x:is>
          <x:t xml:space="preserve">Condition</x:t>
        </x:is>
      </x:c>
      <x:c r="B2" s="83" t="inlineStr">
        <x:is>
          <x:t xml:space="preserve">Valid Partitions</x:t>
        </x:is>
      </x:c>
      <x:c r="C2" s="83" t="inlineStr">
        <x:is>
          <x:t xml:space="preserve">Tag</x:t>
        </x:is>
      </x:c>
      <x:c r="D2" s="83" t="inlineStr">
        <x:is>
          <x:t xml:space="preserve">Invalid Partitions</x:t>
        </x:is>
      </x:c>
      <x:c r="E2" s="83" t="inlineStr">
        <x:is>
          <x:t xml:space="preserve">Tag</x:t>
        </x:is>
      </x:c>
      <x:c r="F2" s="83" t="inlineStr">
        <x:is>
          <x:t xml:space="preserve">Valid Boundaries</x:t>
        </x:is>
      </x:c>
      <x:c r="G2" s="83" t="inlineStr">
        <x:is>
          <x:t xml:space="preserve">Tag</x:t>
        </x:is>
      </x:c>
      <x:c r="H2" s="83" t="inlineStr">
        <x:is>
          <x:t xml:space="preserve">Invalid Boundaries</x:t>
        </x:is>
      </x:c>
      <x:c r="I2" s="83" t="inlineStr">
        <x:is>
          <x:t xml:space="preserve">Tag</x:t>
        </x:is>
      </x:c>
    </x:row>
    <x:row r="3" ht="42" customHeight="1">
      <x:c r="A3" s="130" t="inlineStr">
        <x:is>
          <x:t xml:space="preserve">record status</x:t>
        </x:is>
      </x:c>
      <x:c r="B3" s="129" t="inlineStr">
        <x:is>
          <x:t xml:space="preserve">IN_PROGRESS/DRAFT</x:t>
        </x:is>
      </x:c>
      <x:c r="C3" s="129" t="inlineStr">
        <x:is>
          <x:t xml:space="preserve">VP1</x:t>
        </x:is>
      </x:c>
      <x:c r="D3" s="129" t="inlineStr">
        <x:is>
          <x:t xml:space="preserve">COMPLETED</x:t>
        </x:is>
      </x:c>
      <x:c r="E3" s="129" t="inlineStr">
        <x:is>
          <x:t xml:space="preserve">IP1</x:t>
        </x:is>
      </x:c>
      <x:c r="F3" s="129" t="inlineStr">
        <x:is>
          <x:t xml:space="preserve">N/A</x:t>
        </x:is>
      </x:c>
      <x:c r="G3" s="129" t="inlineStr">
        <x:is>
          <x:t xml:space="preserve">VB1</x:t>
        </x:is>
      </x:c>
      <x:c r="H3" s="129" t="inlineStr">
        <x:is>
          <x:t xml:space="preserve">N/A</x:t>
        </x:is>
      </x:c>
      <x:c r="I3" s="129" t="inlineStr">
        <x:is>
          <x:t xml:space="preserve">IB1</x:t>
        </x:is>
      </x:c>
    </x:row>
    <x:row r="4" ht="42" customHeight="1">
      <x:c r="A4" s="130" t="inlineStr">
        <x:is>
          <x:t xml:space="preserve">test requests</x:t>
        </x:is>
      </x:c>
      <x:c r="B4" s="129" t="inlineStr">
        <x:is>
          <x:t xml:space="preserve">Tất cả COMPLETED hoặc không có</x:t>
        </x:is>
      </x:c>
      <x:c r="C4" s="129" t="inlineStr">
        <x:is>
          <x:t xml:space="preserve">VP2</x:t>
        </x:is>
      </x:c>
      <x:c r="D4" s="129" t="inlineStr">
        <x:is>
          <x:t xml:space="preserve">Còn PENDING/IN_PROGRESS</x:t>
        </x:is>
      </x:c>
      <x:c r="E4" s="129" t="inlineStr">
        <x:is>
          <x:t xml:space="preserve">IP2</x:t>
        </x:is>
      </x:c>
      <x:c r="F4" s="129" t="inlineStr">
        <x:is>
          <x:t xml:space="preserve">0 incomplete</x:t>
        </x:is>
      </x:c>
      <x:c r="G4" s="129" t="inlineStr">
        <x:is>
          <x:t xml:space="preserve">VB2</x:t>
        </x:is>
      </x:c>
      <x:c r="H4" s="129" t="inlineStr">
        <x:is>
          <x:t xml:space="preserve">1 incomplete</x:t>
        </x:is>
      </x:c>
      <x:c r="I4" s="129" t="inlineStr">
        <x:is>
          <x:t xml:space="preserve">IB2</x:t>
        </x:is>
      </x:c>
    </x:row>
    <x:row r="5" ht="42" customHeight="1">
      <x:c r="A5" s="130" t="inlineStr">
        <x:is>
          <x:t xml:space="preserve">follow-up date</x:t>
        </x:is>
      </x:c>
      <x:c r="B5" s="129" t="inlineStr">
        <x:is>
          <x:t xml:space="preserve">Tương lai</x:t>
        </x:is>
      </x:c>
      <x:c r="C5" s="129" t="inlineStr">
        <x:is>
          <x:t xml:space="preserve">VP3</x:t>
        </x:is>
      </x:c>
      <x:c r="D5" s="129" t="inlineStr">
        <x:is>
          <x:t xml:space="preserve">Quá khứ</x:t>
        </x:is>
      </x:c>
      <x:c r="E5" s="129" t="inlineStr">
        <x:is>
          <x:t xml:space="preserve">IP3</x:t>
        </x:is>
      </x:c>
      <x:c r="F5" s="129" t="inlineStr">
        <x:is>
          <x:t xml:space="preserve">Ngày mai</x:t>
        </x:is>
      </x:c>
      <x:c r="G5" s="129" t="inlineStr">
        <x:is>
          <x:t xml:space="preserve">VB3</x:t>
        </x:is>
      </x:c>
      <x:c r="H5" s="129" t="inlineStr">
        <x:is>
          <x:t xml:space="preserve">Hôm qua</x:t>
        </x:is>
      </x:c>
      <x:c r="I5" s="129" t="inlineStr">
        <x:is>
          <x:t xml:space="preserve">IB3</x:t>
        </x:is>
      </x:c>
    </x:row>
    <x:row r="6" ht="42" customHeight="1">
      <x:c r="A6" s="130" t="inlineStr">
        <x:is>
          <x:t xml:space="preserve">service</x:t>
        </x:is>
      </x:c>
      <x:c r="B6" s="129" t="inlineStr">
        <x:is>
          <x:t xml:space="preserve">Dịch vụ tái khám tồn tại</x:t>
        </x:is>
      </x:c>
      <x:c r="C6" s="129" t="inlineStr">
        <x:is>
          <x:t xml:space="preserve">VP4</x:t>
        </x:is>
      </x:c>
      <x:c r="D6" s="129" t="inlineStr">
        <x:is>
          <x:t xml:space="preserve">Không tồn tại</x:t>
        </x:is>
      </x:c>
      <x:c r="E6" s="129" t="inlineStr">
        <x:is>
          <x:t xml:space="preserve">IP4</x:t>
        </x:is>
      </x:c>
      <x:c r="F6" s="129" t="inlineStr">
        <x:is>
          <x:t xml:space="preserve">1 service</x:t>
        </x:is>
      </x:c>
      <x:c r="G6" s="129" t="inlineStr">
        <x:is>
          <x:t xml:space="preserve">VB4</x:t>
        </x:is>
      </x:c>
      <x:c r="H6" s="129" t="inlineStr">
        <x:is>
          <x:t xml:space="preserve">0 service</x:t>
        </x:is>
      </x:c>
      <x:c r="I6" s="129" t="inlineStr">
        <x:is>
          <x:t xml:space="preserve">IB4</x:t>
        </x:is>
      </x:c>
    </x:row>
    <x:row r="7" ht="42" customHeight="1">
      <x:c r="A7" s="130" t="inlineStr">
        <x:is>
          <x:t xml:space="preserve">queue/visit</x:t>
        </x:is>
      </x:c>
      <x:c r="B7" s="129" t="inlineStr">
        <x:is>
          <x:t xml:space="preserve">Đang IN_PROGRESS</x:t>
        </x:is>
      </x:c>
      <x:c r="C7" s="129" t="inlineStr">
        <x:is>
          <x:t xml:space="preserve">VP5</x:t>
        </x:is>
      </x:c>
      <x:c r="D7" s="129" t="inlineStr">
        <x:is>
          <x:t xml:space="preserve">DONE/CANCELLED</x:t>
        </x:is>
      </x:c>
      <x:c r="E7" s="129" t="inlineStr">
        <x:is>
          <x:t xml:space="preserve">IP5</x:t>
        </x:is>
      </x:c>
      <x:c r="F7" s="129" t="inlineStr">
        <x:is>
          <x:t xml:space="preserve">N/A</x:t>
        </x:is>
      </x:c>
      <x:c r="G7" s="129" t="inlineStr">
        <x:is>
          <x:t xml:space="preserve">VB5</x:t>
        </x:is>
      </x:c>
      <x:c r="H7" s="129" t="inlineStr">
        <x:is>
          <x:t xml:space="preserve">N/A</x:t>
        </x:is>
      </x:c>
      <x:c r="I7" s="129" t="inlineStr">
        <x:is>
          <x:t xml:space="preserve">IB5</x:t>
        </x:is>
      </x:c>
    </x:row>
    <x:row r="8" ht="42" customHeight="1">
      <x:c r="A8" s="130" t="inlineStr">
        <x:is>
          <x:t xml:space="preserve">feedback/rating</x:t>
        </x:is>
      </x:c>
      <x:c r="B8" s="129" t="inlineStr">
        <x:is>
          <x:t xml:space="preserve">Trong miền cho phép</x:t>
        </x:is>
      </x:c>
      <x:c r="C8" s="129" t="inlineStr">
        <x:is>
          <x:t xml:space="preserve">VP6</x:t>
        </x:is>
      </x:c>
      <x:c r="D8" s="129" t="inlineStr">
        <x:is>
          <x:t xml:space="preserve">Ngoài miền/gửi trùng</x:t>
        </x:is>
      </x:c>
      <x:c r="E8" s="129" t="inlineStr">
        <x:is>
          <x:t xml:space="preserve">IP6</x:t>
        </x:is>
      </x:c>
      <x:c r="F8" s="129" t="inlineStr">
        <x:is>
          <x:t xml:space="preserve">Min/max</x:t>
        </x:is>
      </x:c>
      <x:c r="G8" s="129" t="inlineStr">
        <x:is>
          <x:t xml:space="preserve">VB6</x:t>
        </x:is>
      </x:c>
      <x:c r="H8" s="129" t="inlineStr">
        <x:is>
          <x:t xml:space="preserve">Min-1/max+1</x:t>
        </x:is>
      </x:c>
      <x:c r="I8" s="129" t="inlineStr">
        <x:is>
          <x:t xml:space="preserve">IB6</x:t>
        </x:is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inlineStr">
        <x:is>
          <x:t xml:space="preserve">* Notes:</x:t>
        </x:is>
      </x:c>
      <x:c r="B27" s="141" t="inlineStr">
        <x:is>
          <x:t xml:space="preserve">Đối chiếu tag VP/IP/VB/IB với Test Design.</x:t>
        </x:is>
      </x:c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inlineStr">
        <x:is>
          <x:t xml:space="preserve">Test case design</x:t>
        </x:is>
      </x:c>
      <x:c r="B1" s="172"/>
      <x:c r="C1" s="172"/>
      <x:c r="D1" s="172"/>
    </x:row>
    <x:row r="2" ht="25.5">
      <x:c r="A2" s="83" t="inlineStr">
        <x:is>
          <x:t xml:space="preserve">Test-case No</x:t>
        </x:is>
      </x:c>
      <x:c r="B2" s="83" t="inlineStr">
        <x:is>
          <x:t xml:space="preserve">Description</x:t>
        </x:is>
      </x:c>
      <x:c r="C2" s="83" t="inlineStr">
        <x:is>
          <x:t xml:space="preserve">Expected result</x:t>
        </x:is>
      </x:c>
      <x:c r="D2" s="83" t="inlineStr">
        <x:is>
          <x:t xml:space="preserve">TAG</x:t>
        </x:is>
      </x:c>
    </x:row>
    <x:row r="3" ht="82" customHeight="1">
      <x:c r="A3" s="152">
        <x:v>1</x:v>
      </x:c>
      <x:c r="B3" s="151" t="inlineStr">
        <x:is>
          <x:t xml:space="preserve">Hoàn tất hồ sơ đủ điều kiện.</x:t>
        </x:is>
      </x:c>
      <x:c r="C3" s="151" t="inlineStr">
        <x:is>
          <x:t xml:space="preserve">Record/Visit/Queue COMPLETED/DONE.</x:t>
        </x:is>
      </x:c>
      <x:c r="D3" s="151" t="inlineStr">
        <x:is>
          <x:t xml:space="preserve">VP1,VP2,VP5</x:t>
        </x:is>
      </x:c>
    </x:row>
    <x:row r="4" ht="82" customHeight="1">
      <x:c r="A4" s="152">
        <x:v>2</x:v>
      </x:c>
      <x:c r="B4" s="151" t="inlineStr">
        <x:is>
          <x:t xml:space="preserve">Còn xét nghiệm chưa xong.</x:t>
        </x:is>
      </x:c>
      <x:c r="C4" s="151" t="inlineStr">
        <x:is>
          <x:t xml:space="preserve">400; hồ sơ chưa hoàn tất.</x:t>
        </x:is>
      </x:c>
      <x:c r="D4" s="151" t="inlineStr">
        <x:is>
          <x:t xml:space="preserve">IP2,IB2</x:t>
        </x:is>
      </x:c>
    </x:row>
    <x:row r="5" ht="82" customHeight="1">
      <x:c r="A5" s="152">
        <x:v>3</x:v>
      </x:c>
      <x:c r="B5" s="151" t="inlineStr">
        <x:is>
          <x:t xml:space="preserve">Tạo lịch tái khám hợp lệ.</x:t>
        </x:is>
      </x:c>
      <x:c r="C5" s="151" t="inlineStr">
        <x:is>
          <x:t xml:space="preserve">Appointment PENDING liên kết record/service.</x:t>
        </x:is>
      </x:c>
      <x:c r="D5" s="151" t="inlineStr">
        <x:is>
          <x:t xml:space="preserve">VP3,VP4</x:t>
        </x:is>
      </x:c>
    </x:row>
    <x:row r="6" ht="82" customHeight="1">
      <x:c r="A6" s="152">
        <x:v>4</x:v>
      </x:c>
      <x:c r="B6" s="151" t="inlineStr">
        <x:is>
          <x:t xml:space="preserve">Ngày tái khám quá khứ.</x:t>
        </x:is>
      </x:c>
      <x:c r="C6" s="151" t="inlineStr">
        <x:is>
          <x:t xml:space="preserve">400; không tạo appointment.</x:t>
        </x:is>
      </x:c>
      <x:c r="D6" s="151" t="inlineStr">
        <x:is>
          <x:t xml:space="preserve">IP3</x:t>
        </x:is>
      </x:c>
    </x:row>
    <x:row r="7" ht="82" customHeight="1">
      <x:c r="A7" s="152">
        <x:v>5</x:v>
      </x:c>
      <x:c r="B7" s="151" t="inlineStr">
        <x:is>
          <x:t xml:space="preserve">Hoàn tất lại record COMPLETED.</x:t>
        </x:is>
      </x:c>
      <x:c r="C7" s="151" t="inlineStr">
        <x:is>
          <x:t xml:space="preserve">409/400; không lặp side effect.</x:t>
        </x:is>
      </x:c>
      <x:c r="D7" s="151" t="inlineStr">
        <x:is>
          <x:t xml:space="preserve">IP1</x:t>
        </x:is>
      </x:c>
    </x:row>
    <x:row r="8" ht="82" customHeight="1">
      <x:c r="A8" s="152">
        <x:v>6</x:v>
      </x:c>
      <x:c r="B8" s="151" t="inlineStr">
        <x:is>
          <x:t xml:space="preserve">Bệnh nhân đánh giá hợp lệ.</x:t>
        </x:is>
      </x:c>
      <x:c r="C8" s="151" t="inlineStr">
        <x:is>
          <x:t xml:space="preserve">Lưu rating/feedback đúng record.</x:t>
        </x:is>
      </x:c>
      <x:c r="D8" s="151" t="inlineStr">
        <x:is>
          <x:t xml:space="preserve">VP6</x:t>
        </x:is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inlineStr">
        <x:is>
          <x:t xml:space="preserve">IT10 - Hoàn tất khám và tái khám</x:t>
        </x:is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inlineStr">
        <x:is>
          <x:t xml:space="preserve">MedicalRecord -&gt; Visit/Queue -&gt; Follow-up Appointment.</x:t>
        </x:is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f>COUNTIF(A12:A1000,"IT*")</x:f>
        <x:v>0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inlineStr">
        <x:is>
          <x:t xml:space="preserve">Test Case ID</x:t>
        </x:is>
      </x:c>
      <x:c r="B10" s="83" t="inlineStr">
        <x:is>
          <x:t xml:space="preserve">Test Case Description</x:t>
        </x:is>
      </x:c>
      <x:c r="C10" s="83" t="inlineStr">
        <x:is>
          <x:t xml:space="preserve">Test Case Procedure</x:t>
        </x:is>
      </x:c>
      <x:c r="D10" s="83" t="inlineStr">
        <x:is>
          <x:t xml:space="preserve">Expected Results</x:t>
        </x:is>
      </x:c>
      <x:c r="E10" s="83" t="inlineStr">
        <x:is>
          <x:t xml:space="preserve">Pre-conditions</x:t>
        </x:is>
      </x:c>
      <x:c r="F10" s="83" t="inlineStr">
        <x:is>
          <x:t xml:space="preserve">Round 1</x:t>
        </x:is>
      </x:c>
      <x:c r="G10" s="83" t="inlineStr">
        <x:is>
          <x:t xml:space="preserve">Test date</x:t>
        </x:is>
      </x:c>
      <x:c r="H10" s="83" t="inlineStr">
        <x:is>
          <x:t xml:space="preserve">Tester</x:t>
        </x:is>
      </x:c>
      <x:c r="I10" s="83" t="inlineStr">
        <x:is>
          <x:t xml:space="preserve">Round 2</x:t>
        </x:is>
      </x:c>
      <x:c r="J10" s="83" t="inlineStr">
        <x:is>
          <x:t xml:space="preserve">Test date</x:t>
        </x:is>
      </x:c>
      <x:c r="K10" s="83" t="inlineStr">
        <x:is>
          <x:t xml:space="preserve">Tester</x:t>
        </x:is>
      </x:c>
      <x:c r="L10" s="83" t="inlineStr">
        <x:is>
          <x:t xml:space="preserve">Round 3</x:t>
        </x:is>
      </x:c>
      <x:c r="M10" s="83" t="inlineStr">
        <x:is>
          <x:t xml:space="preserve">Test date</x:t>
        </x:is>
      </x:c>
      <x:c r="N10" s="83" t="inlineStr">
        <x:is>
          <x:t xml:space="preserve">Tester</x:t>
        </x:is>
      </x:c>
      <x:c r="O10" s="83" t="inlineStr">
        <x:is>
          <x:t xml:space="preserve">Note</x:t>
        </x:is>
      </x:c>
      <x:c r="Q10" s="34"/>
    </x:row>
    <x:row r="11" s="30" customFormat="1" ht="18" customHeight="1">
      <x:c r="A11" s="79" t="inlineStr">
        <x:is>
          <x:t xml:space="preserve">Luồng hợp lệ</x:t>
        </x:is>
      </x:c>
      <x:c r="Q11" s="38"/>
    </x:row>
    <x:row r="12" s="44" customFormat="1" ht="105" customHeight="1">
      <x:c r="A12" s="39" t="inlineStr">
        <x:is>
          <x:t xml:space="preserve">IT10-001</x:t>
        </x:is>
      </x:c>
      <x:c r="B12" s="39" t="inlineStr">
        <x:is>
          <x:t xml:space="preserve">Hoàn tất khám</x:t>
        </x:is>
      </x:c>
      <x:c r="C12" s="39" t="inlineStr">
        <x:is>
          <x:t xml:space="preserve">POST /medical-records/{id}/complete.</x:t>
        </x:is>
      </x:c>
      <x:c r="D12" s="45" t="inlineStr">
        <x:is>
          <x:t xml:space="preserve">Record COMPLETED; Visit COMPLETED; Queue DONE.</x:t>
        </x:is>
      </x:c>
      <x:c r="E12" s="39" t="inlineStr">
        <x:is>
          <x:t xml:space="preserve">Không còn test incomplete.</x:t>
        </x:is>
      </x:c>
      <x:c r="F12" s="39" t="inlineStr">
        <x:is>
          <x:t xml:space="preserve">Pending</x:t>
        </x:is>
      </x:c>
      <x:c r="I12" s="39" t="inlineStr">
        <x:is>
          <x:t xml:space="preserve">Pending</x:t>
        </x:is>
      </x:c>
      <x:c r="L12" s="39" t="inlineStr">
        <x:is>
          <x:t xml:space="preserve">Pending</x:t>
        </x:is>
      </x:c>
      <x:c r="O12" s="39" t="inlineStr">
        <x:is>
          <x:t xml:space="preserve">VP1,VP2,VP5</x:t>
        </x:is>
      </x:c>
      <x:c r="Q12" s="43"/>
    </x:row>
    <x:row r="13" ht="105" customHeight="1">
      <x:c r="A13" s="39" t="inlineStr">
        <x:is>
          <x:t xml:space="preserve">IT10-002</x:t>
        </x:is>
      </x:c>
      <x:c r="B13" s="39" t="inlineStr">
        <x:is>
          <x:t xml:space="preserve">Còn xét nghiệm</x:t>
        </x:is>
      </x:c>
      <x:c r="C13" s="39" t="inlineStr">
        <x:is>
          <x:t xml:space="preserve">Complete khi có TestRequest PENDING.</x:t>
        </x:is>
      </x:c>
      <x:c r="D13" s="45" t="inlineStr">
        <x:is>
          <x:t xml:space="preserve">400; record giữ IN_PROGRESS.</x:t>
        </x:is>
      </x:c>
      <x:c r="E13" s="39" t="inlineStr">
        <x:is>
          <x:t xml:space="preserve">Có request chưa xong.</x:t>
        </x:is>
      </x:c>
      <x:c r="F13" s="39" t="inlineStr">
        <x:is>
          <x:t xml:space="preserve">Pending</x:t>
        </x:is>
      </x:c>
      <x:c r="I13" s="39" t="inlineStr">
        <x:is>
          <x:t xml:space="preserve">Pending</x:t>
        </x:is>
      </x:c>
      <x:c r="L13" s="39" t="inlineStr">
        <x:is>
          <x:t xml:space="preserve">Pending</x:t>
        </x:is>
      </x:c>
      <x:c r="O13" s="39" t="inlineStr">
        <x:is>
          <x:t xml:space="preserve">IP2,IB2</x:t>
        </x:is>
      </x:c>
      <x:c r="Q13" s="43"/>
    </x:row>
    <x:row r="14" ht="18" customHeight="1">
      <x:c r="A14" s="79" t="inlineStr">
        <x:is>
          <x:t xml:space="preserve">Validation nghiệp vụ</x:t>
        </x:is>
      </x:c>
      <x:c r="Q14" s="43"/>
    </x:row>
    <x:row r="15" s="30" customFormat="1" ht="105" customHeight="1">
      <x:c r="A15" s="39" t="inlineStr">
        <x:is>
          <x:t xml:space="preserve">IT10-003</x:t>
        </x:is>
      </x:c>
      <x:c r="B15" s="39" t="inlineStr">
        <x:is>
          <x:t xml:space="preserve">Tạo tái khám</x:t>
        </x:is>
      </x:c>
      <x:c r="C15" s="39" t="inlineStr">
        <x:is>
          <x:t xml:space="preserve">POST /medical-records/{id}/follow-up-appointment.</x:t>
        </x:is>
      </x:c>
      <x:c r="D15" s="45" t="inlineStr">
        <x:is>
          <x:t xml:space="preserve">Appointment PENDING liên kết đúng customer/service.</x:t>
        </x:is>
      </x:c>
      <x:c r="E15" s="39" t="inlineStr">
        <x:is>
          <x:t xml:space="preserve">Ngày tương lai.</x:t>
        </x:is>
      </x:c>
      <x:c r="F15" s="39" t="inlineStr">
        <x:is>
          <x:t xml:space="preserve">Pending</x:t>
        </x:is>
      </x:c>
      <x:c r="I15" s="39" t="inlineStr">
        <x:is>
          <x:t xml:space="preserve">Pending</x:t>
        </x:is>
      </x:c>
      <x:c r="L15" s="39" t="inlineStr">
        <x:is>
          <x:t xml:space="preserve">Pending</x:t>
        </x:is>
      </x:c>
      <x:c r="O15" s="39" t="inlineStr">
        <x:is>
          <x:t xml:space="preserve">VP3,VP4</x:t>
        </x:is>
      </x:c>
      <x:c r="Q15" s="38"/>
    </x:row>
    <x:row r="16" ht="105" customHeight="1">
      <x:c r="A16" s="39" t="inlineStr">
        <x:is>
          <x:t xml:space="preserve">IT10-004</x:t>
        </x:is>
      </x:c>
      <x:c r="B16" s="39" t="inlineStr">
        <x:is>
          <x:t xml:space="preserve">Tái khám quá khứ</x:t>
        </x:is>
      </x:c>
      <x:c r="C16" s="39" t="inlineStr">
        <x:is>
          <x:t xml:space="preserve">Tạo follow-up ngày hôm qua.</x:t>
        </x:is>
      </x:c>
      <x:c r="D16" s="45" t="inlineStr">
        <x:is>
          <x:t xml:space="preserve">400; không tạo appointment.</x:t>
        </x:is>
      </x:c>
      <x:c r="E16" s="39" t="inlineStr">
        <x:is>
          <x:t xml:space="preserve">Record tồn tại.</x:t>
        </x:is>
      </x:c>
      <x:c r="F16" s="39" t="inlineStr">
        <x:is>
          <x:t xml:space="preserve">Pending</x:t>
        </x:is>
      </x:c>
      <x:c r="I16" s="39" t="inlineStr">
        <x:is>
          <x:t xml:space="preserve">Pending</x:t>
        </x:is>
      </x:c>
      <x:c r="L16" s="39" t="inlineStr">
        <x:is>
          <x:t xml:space="preserve">Pending</x:t>
        </x:is>
      </x:c>
      <x:c r="O16" s="39" t="inlineStr">
        <x:is>
          <x:t xml:space="preserve">IP3</x:t>
        </x:is>
      </x:c>
      <x:c r="Q16" s="43"/>
    </x:row>
    <x:row r="17" ht="18">
      <x:c r="A17" s="79" t="inlineStr">
        <x:is>
          <x:t xml:space="preserve">Quyền/trạng thái biên</x:t>
        </x:is>
      </x:c>
    </x:row>
    <x:row r="18" ht="105" customHeight="1">
      <x:c r="A18" s="39" t="inlineStr">
        <x:is>
          <x:t xml:space="preserve">IT10-005</x:t>
        </x:is>
      </x:c>
      <x:c r="B18" s="39" t="inlineStr">
        <x:is>
          <x:t xml:space="preserve">Hoàn tất lặp</x:t>
        </x:is>
      </x:c>
      <x:c r="C18" s="39" t="inlineStr">
        <x:is>
          <x:t xml:space="preserve">Complete record đã COMPLETED.</x:t>
        </x:is>
      </x:c>
      <x:c r="D18" s="45" t="inlineStr">
        <x:is>
          <x:t xml:space="preserve">Không tạo side effect trùng.</x:t>
        </x:is>
      </x:c>
      <x:c r="E18" s="39" t="inlineStr">
        <x:is>
          <x:t xml:space="preserve">Record COMPLETED.</x:t>
        </x:is>
      </x:c>
      <x:c r="F18" s="39" t="inlineStr">
        <x:is>
          <x:t xml:space="preserve">Pending</x:t>
        </x:is>
      </x:c>
      <x:c r="I18" s="39" t="inlineStr">
        <x:is>
          <x:t xml:space="preserve">Pending</x:t>
        </x:is>
      </x:c>
      <x:c r="L18" s="39" t="inlineStr">
        <x:is>
          <x:t xml:space="preserve">Pending</x:t>
        </x:is>
      </x:c>
      <x:c r="O18" s="39" t="inlineStr">
        <x:is>
          <x:t xml:space="preserve">IP1</x:t>
        </x:is>
      </x:c>
    </x:row>
    <x:row r="19" s="44" customFormat="1" ht="105" customHeight="1">
      <x:c r="A19" s="39" t="inlineStr">
        <x:is>
          <x:t xml:space="preserve">IT10-006</x:t>
        </x:is>
      </x:c>
      <x:c r="B19" s="39" t="inlineStr">
        <x:is>
          <x:t xml:space="preserve">Đánh giá lượt khám</x:t>
        </x:is>
      </x:c>
      <x:c r="C19" s="39" t="inlineStr">
        <x:is>
          <x:t xml:space="preserve">POST /medical-records/{id}/rate với rating hợp lệ.</x:t>
        </x:is>
      </x:c>
      <x:c r="D19" s="45" t="inlineStr">
        <x:is>
          <x:t xml:space="preserve">Rating lưu đúng customer/record.</x:t>
        </x:is>
      </x:c>
      <x:c r="E19" s="39" t="inlineStr">
        <x:is>
          <x:t xml:space="preserve">Customer sở hữu record.</x:t>
        </x:is>
      </x:c>
      <x:c r="F19" s="39" t="inlineStr">
        <x:is>
          <x:t xml:space="preserve">Pending</x:t>
        </x:is>
      </x:c>
      <x:c r="I19" s="39" t="inlineStr">
        <x:is>
          <x:t xml:space="preserve">Pending</x:t>
        </x:is>
      </x:c>
      <x:c r="L19" s="39" t="inlineStr">
        <x:is>
          <x:t xml:space="preserve">Pending</x:t>
        </x:is>
      </x:c>
      <x:c r="O19" s="39" t="inlineStr">
        <x:is>
          <x:t xml:space="preserve">VP6</x:t>
        </x:is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c2a5278631954219"/>
</x:worksheet>
</file>

<file path=xl/worksheets/sheet35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inlineStr">
        <x:is>
          <x:t xml:space="preserve">Test Condition Analysis</x:t>
        </x:is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inlineStr">
        <x:is>
          <x:t xml:space="preserve">Condition</x:t>
        </x:is>
      </x:c>
      <x:c r="B2" s="83" t="inlineStr">
        <x:is>
          <x:t xml:space="preserve">Valid Partitions</x:t>
        </x:is>
      </x:c>
      <x:c r="C2" s="83" t="inlineStr">
        <x:is>
          <x:t xml:space="preserve">Tag</x:t>
        </x:is>
      </x:c>
      <x:c r="D2" s="83" t="inlineStr">
        <x:is>
          <x:t xml:space="preserve">Invalid Partitions</x:t>
        </x:is>
      </x:c>
      <x:c r="E2" s="83" t="inlineStr">
        <x:is>
          <x:t xml:space="preserve">Tag</x:t>
        </x:is>
      </x:c>
      <x:c r="F2" s="83" t="inlineStr">
        <x:is>
          <x:t xml:space="preserve">Valid Boundaries</x:t>
        </x:is>
      </x:c>
      <x:c r="G2" s="83" t="inlineStr">
        <x:is>
          <x:t xml:space="preserve">Tag</x:t>
        </x:is>
      </x:c>
      <x:c r="H2" s="83" t="inlineStr">
        <x:is>
          <x:t xml:space="preserve">Invalid Boundaries</x:t>
        </x:is>
      </x:c>
      <x:c r="I2" s="83" t="inlineStr">
        <x:is>
          <x:t xml:space="preserve">Tag</x:t>
        </x:is>
      </x:c>
    </x:row>
    <x:row r="3" ht="42" customHeight="1">
      <x:c r="A3" s="130" t="inlineStr">
        <x:is>
          <x:t xml:space="preserve">insurance code</x:t>
        </x:is>
      </x:c>
      <x:c r="B3" s="129" t="inlineStr">
        <x:is>
          <x:t xml:space="preserve">Tồn tại/active</x:t>
        </x:is>
      </x:c>
      <x:c r="C3" s="129" t="inlineStr">
        <x:is>
          <x:t xml:space="preserve">VP1</x:t>
        </x:is>
      </x:c>
      <x:c r="D3" s="129" t="inlineStr">
        <x:is>
          <x:t xml:space="preserve">Không tồn tại/inactive</x:t>
        </x:is>
      </x:c>
      <x:c r="E3" s="129" t="inlineStr">
        <x:is>
          <x:t xml:space="preserve">IP1</x:t>
        </x:is>
      </x:c>
      <x:c r="F3" s="129" t="inlineStr">
        <x:is>
          <x:t xml:space="preserve">Đúng độ dài</x:t>
        </x:is>
      </x:c>
      <x:c r="G3" s="129" t="inlineStr">
        <x:is>
          <x:t xml:space="preserve">VB1</x:t>
        </x:is>
      </x:c>
      <x:c r="H3" s="129" t="inlineStr">
        <x:is>
          <x:t xml:space="preserve">Sai độ dài</x:t>
        </x:is>
      </x:c>
      <x:c r="I3" s="129" t="inlineStr">
        <x:is>
          <x:t xml:space="preserve">IB1</x:t>
        </x:is>
      </x:c>
    </x:row>
    <x:row r="4" ht="42" customHeight="1">
      <x:c r="A4" s="130" t="inlineStr">
        <x:is>
          <x:t xml:space="preserve">coverage rule</x:t>
        </x:is>
      </x:c>
      <x:c r="B4" s="129" t="inlineStr">
        <x:is>
          <x:t xml:space="preserve">Dịch vụ thuộc rule</x:t>
        </x:is>
      </x:c>
      <x:c r="C4" s="129" t="inlineStr">
        <x:is>
          <x:t xml:space="preserve">VP2</x:t>
        </x:is>
      </x:c>
      <x:c r="D4" s="129" t="inlineStr">
        <x:is>
          <x:t xml:space="preserve">Không thuộc/quá hạn</x:t>
        </x:is>
      </x:c>
      <x:c r="E4" s="129" t="inlineStr">
        <x:is>
          <x:t xml:space="preserve">IP2</x:t>
        </x:is>
      </x:c>
      <x:c r="F4" s="129" t="inlineStr">
        <x:is>
          <x:t xml:space="preserve">Đúng trần</x:t>
        </x:is>
      </x:c>
      <x:c r="G4" s="129" t="inlineStr">
        <x:is>
          <x:t xml:space="preserve">VB2</x:t>
        </x:is>
      </x:c>
      <x:c r="H4" s="129" t="inlineStr">
        <x:is>
          <x:t xml:space="preserve">Vượt trần</x:t>
        </x:is>
      </x:c>
      <x:c r="I4" s="129" t="inlineStr">
        <x:is>
          <x:t xml:space="preserve">IB2</x:t>
        </x:is>
      </x:c>
    </x:row>
    <x:row r="5" ht="42" customHeight="1">
      <x:c r="A5" s="130" t="inlineStr">
        <x:is>
          <x:t xml:space="preserve">invoice</x:t>
        </x:is>
      </x:c>
      <x:c r="B5" s="129" t="inlineStr">
        <x:is>
          <x:t xml:space="preserve">PENDING đúng customer</x:t>
        </x:is>
      </x:c>
      <x:c r="C5" s="129" t="inlineStr">
        <x:is>
          <x:t xml:space="preserve">VP3</x:t>
        </x:is>
      </x:c>
      <x:c r="D5" s="129" t="inlineStr">
        <x:is>
          <x:t xml:space="preserve">Sai customer/PAID</x:t>
        </x:is>
      </x:c>
      <x:c r="E5" s="129" t="inlineStr">
        <x:is>
          <x:t xml:space="preserve">IP3</x:t>
        </x:is>
      </x:c>
      <x:c r="F5" s="129" t="inlineStr">
        <x:is>
          <x:t xml:space="preserve">N/A</x:t>
        </x:is>
      </x:c>
      <x:c r="G5" s="129" t="inlineStr">
        <x:is>
          <x:t xml:space="preserve">VB3</x:t>
        </x:is>
      </x:c>
      <x:c r="H5" s="129" t="inlineStr">
        <x:is>
          <x:t xml:space="preserve">Null</x:t>
        </x:is>
      </x:c>
      <x:c r="I5" s="129" t="inlineStr">
        <x:is>
          <x:t xml:space="preserve">IB3</x:t>
        </x:is>
      </x:c>
    </x:row>
    <x:row r="6" ht="42" customHeight="1">
      <x:c r="A6" s="130" t="inlineStr">
        <x:is>
          <x:t xml:space="preserve">transaction</x:t>
        </x:is>
      </x:c>
      <x:c r="B6" s="129" t="inlineStr">
        <x:is>
          <x:t xml:space="preserve">PENDING</x:t>
        </x:is>
      </x:c>
      <x:c r="C6" s="129" t="inlineStr">
        <x:is>
          <x:t xml:space="preserve">VP4</x:t>
        </x:is>
      </x:c>
      <x:c r="D6" s="129" t="inlineStr">
        <x:is>
          <x:t xml:space="preserve">SUCCESS/FAILED xử lý lại</x:t>
        </x:is>
      </x:c>
      <x:c r="E6" s="129" t="inlineStr">
        <x:is>
          <x:t xml:space="preserve">IP4</x:t>
        </x:is>
      </x:c>
      <x:c r="F6" s="129" t="inlineStr">
        <x:is>
          <x:t xml:space="preserve">N/A</x:t>
        </x:is>
      </x:c>
      <x:c r="G6" s="129" t="inlineStr">
        <x:is>
          <x:t xml:space="preserve">VB4</x:t>
        </x:is>
      </x:c>
      <x:c r="H6" s="129" t="inlineStr">
        <x:is>
          <x:t xml:space="preserve">N/A</x:t>
        </x:is>
      </x:c>
      <x:c r="I6" s="129" t="inlineStr">
        <x:is>
          <x:t xml:space="preserve">IB4</x:t>
        </x:is>
      </x:c>
    </x:row>
    <x:row r="7" ht="42" customHeight="1">
      <x:c r="A7" s="130" t="inlineStr">
        <x:is>
          <x:t xml:space="preserve">payment method</x:t>
        </x:is>
      </x:c>
      <x:c r="B7" s="129" t="inlineStr">
        <x:is>
          <x:t xml:space="preserve">CASH/PayOS hợp lệ</x:t>
        </x:is>
      </x:c>
      <x:c r="C7" s="129" t="inlineStr">
        <x:is>
          <x:t xml:space="preserve">VP5</x:t>
        </x:is>
      </x:c>
      <x:c r="D7" s="129" t="inlineStr">
        <x:is>
          <x:t xml:space="preserve">Ngoài enum</x:t>
        </x:is>
      </x:c>
      <x:c r="E7" s="129" t="inlineStr">
        <x:is>
          <x:t xml:space="preserve">IP5</x:t>
        </x:is>
      </x:c>
      <x:c r="F7" s="129" t="inlineStr">
        <x:is>
          <x:t xml:space="preserve">N/A</x:t>
        </x:is>
      </x:c>
      <x:c r="G7" s="129" t="inlineStr">
        <x:is>
          <x:t xml:space="preserve">VB5</x:t>
        </x:is>
      </x:c>
      <x:c r="H7" s="129" t="inlineStr">
        <x:is>
          <x:t xml:space="preserve">Null</x:t>
        </x:is>
      </x:c>
      <x:c r="I7" s="129" t="inlineStr">
        <x:is>
          <x:t xml:space="preserve">IB5</x:t>
        </x:is>
      </x:c>
    </x:row>
    <x:row r="8" ht="42" customHeight="1">
      <x:c r="A8" s="130" t="inlineStr">
        <x:is>
          <x:t xml:space="preserve">history access</x:t>
        </x:is>
      </x:c>
      <x:c r="B8" s="129" t="inlineStr">
        <x:is>
          <x:t xml:space="preserve">Customer sở hữu invoice</x:t>
        </x:is>
      </x:c>
      <x:c r="C8" s="129" t="inlineStr">
        <x:is>
          <x:t xml:space="preserve">VP6</x:t>
        </x:is>
      </x:c>
      <x:c r="D8" s="129" t="inlineStr">
        <x:is>
          <x:t xml:space="preserve">Customer khác</x:t>
        </x:is>
      </x:c>
      <x:c r="E8" s="129" t="inlineStr">
        <x:is>
          <x:t xml:space="preserve">IP6</x:t>
        </x:is>
      </x:c>
      <x:c r="F8" s="129" t="inlineStr">
        <x:is>
          <x:t xml:space="preserve">N/A</x:t>
        </x:is>
      </x:c>
      <x:c r="G8" s="129" t="inlineStr">
        <x:is>
          <x:t xml:space="preserve">VB6</x:t>
        </x:is>
      </x:c>
      <x:c r="H8" s="129" t="inlineStr">
        <x:is>
          <x:t xml:space="preserve">N/A</x:t>
        </x:is>
      </x:c>
      <x:c r="I8" s="129" t="inlineStr">
        <x:is>
          <x:t xml:space="preserve">IB6</x:t>
        </x:is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inlineStr">
        <x:is>
          <x:t xml:space="preserve">* Notes:</x:t>
        </x:is>
      </x:c>
      <x:c r="B27" s="141" t="inlineStr">
        <x:is>
          <x:t xml:space="preserve">Đối chiếu tag VP/IP/VB/IB với Test Design.</x:t>
        </x:is>
      </x:c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inlineStr">
        <x:is>
          <x:t xml:space="preserve">Test case design</x:t>
        </x:is>
      </x:c>
      <x:c r="B1" s="172"/>
      <x:c r="C1" s="172"/>
      <x:c r="D1" s="172"/>
    </x:row>
    <x:row r="2" ht="25.5">
      <x:c r="A2" s="83" t="inlineStr">
        <x:is>
          <x:t xml:space="preserve">Test-case No</x:t>
        </x:is>
      </x:c>
      <x:c r="B2" s="83" t="inlineStr">
        <x:is>
          <x:t xml:space="preserve">Description</x:t>
        </x:is>
      </x:c>
      <x:c r="C2" s="83" t="inlineStr">
        <x:is>
          <x:t xml:space="preserve">Expected result</x:t>
        </x:is>
      </x:c>
      <x:c r="D2" s="83" t="inlineStr">
        <x:is>
          <x:t xml:space="preserve">TAG</x:t>
        </x:is>
      </x:c>
    </x:row>
    <x:row r="3" ht="82" customHeight="1">
      <x:c r="A3" s="152">
        <x:v>1</x:v>
      </x:c>
      <x:c r="B3" s="151" t="inlineStr">
        <x:is>
          <x:t xml:space="preserve">Kiểm tra BHXH hợp lệ.</x:t>
        </x:is>
      </x:c>
      <x:c r="C3" s="151" t="inlineStr">
        <x:is>
          <x:t xml:space="preserve">Trả thông tin và coverage.</x:t>
        </x:is>
      </x:c>
      <x:c r="D3" s="151" t="inlineStr">
        <x:is>
          <x:t xml:space="preserve">VP1,VP2</x:t>
        </x:is>
      </x:c>
    </x:row>
    <x:row r="4" ht="82" customHeight="1">
      <x:c r="A4" s="152">
        <x:v>2</x:v>
      </x:c>
      <x:c r="B4" s="151" t="inlineStr">
        <x:is>
          <x:t xml:space="preserve">Áp dụng BHXH vào invoice.</x:t>
        </x:is>
      </x:c>
      <x:c r="C4" s="151" t="inlineStr">
        <x:is>
          <x:t xml:space="preserve">Tính covered/patient payable đúng.</x:t>
        </x:is>
      </x:c>
      <x:c r="D4" s="151" t="inlineStr">
        <x:is>
          <x:t xml:space="preserve">VP2,VP3</x:t>
        </x:is>
      </x:c>
    </x:row>
    <x:row r="5" ht="82" customHeight="1">
      <x:c r="A5" s="152">
        <x:v>3</x:v>
      </x:c>
      <x:c r="B5" s="151" t="inlineStr">
        <x:is>
          <x:t xml:space="preserve">BHXH inactive/sai mã.</x:t>
        </x:is>
      </x:c>
      <x:c r="C5" s="151" t="inlineStr">
        <x:is>
          <x:t xml:space="preserve">404/400; không áp dụng.</x:t>
        </x:is>
      </x:c>
      <x:c r="D5" s="151" t="inlineStr">
        <x:is>
          <x:t xml:space="preserve">IP1</x:t>
        </x:is>
      </x:c>
    </x:row>
    <x:row r="6" ht="82" customHeight="1">
      <x:c r="A6" s="152">
        <x:v>4</x:v>
      </x:c>
      <x:c r="B6" s="151" t="inlineStr">
        <x:is>
          <x:t xml:space="preserve">Confirm transaction PENDING.</x:t>
        </x:is>
      </x:c>
      <x:c r="C6" s="151" t="inlineStr">
        <x:is>
          <x:t xml:space="preserve">Transaction SUCCESS; Invoice PAID.</x:t>
        </x:is>
      </x:c>
      <x:c r="D6" s="151" t="inlineStr">
        <x:is>
          <x:t xml:space="preserve">VP4,VP5</x:t>
        </x:is>
      </x:c>
    </x:row>
    <x:row r="7" ht="82" customHeight="1">
      <x:c r="A7" s="152">
        <x:v>5</x:v>
      </x:c>
      <x:c r="B7" s="151" t="inlineStr">
        <x:is>
          <x:t xml:space="preserve">Confirm lại SUCCESS.</x:t>
        </x:is>
      </x:c>
      <x:c r="C7" s="151" t="inlineStr">
        <x:is>
          <x:t xml:space="preserve">Không side effect trùng.</x:t>
        </x:is>
      </x:c>
      <x:c r="D7" s="151" t="inlineStr">
        <x:is>
          <x:t xml:space="preserve">IP4</x:t>
        </x:is>
      </x:c>
    </x:row>
    <x:row r="8" ht="82" customHeight="1">
      <x:c r="A8" s="152">
        <x:v>6</x:v>
      </x:c>
      <x:c r="B8" s="151" t="inlineStr">
        <x:is>
          <x:t xml:space="preserve">Customer xem invoice người khác.</x:t>
        </x:is>
      </x:c>
      <x:c r="C8" s="151" t="inlineStr">
        <x:is>
          <x:t xml:space="preserve">403/404; không lộ lịch sử.</x:t>
        </x:is>
      </x:c>
      <x:c r="D8" s="151" t="inlineStr">
        <x:is>
          <x:t xml:space="preserve">IP6</x:t>
        </x:is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inlineStr">
        <x:is>
          <x:t xml:space="preserve">IT11 - BHXH và giao dịch</x:t>
        </x:is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inlineStr">
        <x:is>
          <x:t xml:space="preserve">Insurance/BHXH -&gt; Invoice -&gt; Transaction -&gt; Payment history.</x:t>
        </x:is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f>COUNTIF(A12:A1000,"IT*")</x:f>
        <x:v>0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inlineStr">
        <x:is>
          <x:t xml:space="preserve">Test Case ID</x:t>
        </x:is>
      </x:c>
      <x:c r="B10" s="83" t="inlineStr">
        <x:is>
          <x:t xml:space="preserve">Test Case Description</x:t>
        </x:is>
      </x:c>
      <x:c r="C10" s="83" t="inlineStr">
        <x:is>
          <x:t xml:space="preserve">Test Case Procedure</x:t>
        </x:is>
      </x:c>
      <x:c r="D10" s="83" t="inlineStr">
        <x:is>
          <x:t xml:space="preserve">Expected Results</x:t>
        </x:is>
      </x:c>
      <x:c r="E10" s="83" t="inlineStr">
        <x:is>
          <x:t xml:space="preserve">Pre-conditions</x:t>
        </x:is>
      </x:c>
      <x:c r="F10" s="83" t="inlineStr">
        <x:is>
          <x:t xml:space="preserve">Round 1</x:t>
        </x:is>
      </x:c>
      <x:c r="G10" s="83" t="inlineStr">
        <x:is>
          <x:t xml:space="preserve">Test date</x:t>
        </x:is>
      </x:c>
      <x:c r="H10" s="83" t="inlineStr">
        <x:is>
          <x:t xml:space="preserve">Tester</x:t>
        </x:is>
      </x:c>
      <x:c r="I10" s="83" t="inlineStr">
        <x:is>
          <x:t xml:space="preserve">Round 2</x:t>
        </x:is>
      </x:c>
      <x:c r="J10" s="83" t="inlineStr">
        <x:is>
          <x:t xml:space="preserve">Test date</x:t>
        </x:is>
      </x:c>
      <x:c r="K10" s="83" t="inlineStr">
        <x:is>
          <x:t xml:space="preserve">Tester</x:t>
        </x:is>
      </x:c>
      <x:c r="L10" s="83" t="inlineStr">
        <x:is>
          <x:t xml:space="preserve">Round 3</x:t>
        </x:is>
      </x:c>
      <x:c r="M10" s="83" t="inlineStr">
        <x:is>
          <x:t xml:space="preserve">Test date</x:t>
        </x:is>
      </x:c>
      <x:c r="N10" s="83" t="inlineStr">
        <x:is>
          <x:t xml:space="preserve">Tester</x:t>
        </x:is>
      </x:c>
      <x:c r="O10" s="83" t="inlineStr">
        <x:is>
          <x:t xml:space="preserve">Note</x:t>
        </x:is>
      </x:c>
      <x:c r="Q10" s="34"/>
    </x:row>
    <x:row r="11" s="30" customFormat="1" ht="18" customHeight="1">
      <x:c r="A11" s="79" t="inlineStr">
        <x:is>
          <x:t xml:space="preserve">Luồng hợp lệ</x:t>
        </x:is>
      </x:c>
      <x:c r="Q11" s="38"/>
    </x:row>
    <x:row r="12" s="44" customFormat="1" ht="105" customHeight="1">
      <x:c r="A12" s="39" t="inlineStr">
        <x:is>
          <x:t xml:space="preserve">IT11-001</x:t>
        </x:is>
      </x:c>
      <x:c r="B12" s="39" t="inlineStr">
        <x:is>
          <x:t xml:space="preserve">Tra BHXH</x:t>
        </x:is>
      </x:c>
      <x:c r="C12" s="39" t="inlineStr">
        <x:is>
          <x:t xml:space="preserve">GET /api/v1/bhxh/check.</x:t>
        </x:is>
      </x:c>
      <x:c r="D12" s="45" t="inlineStr">
        <x:is>
          <x:t xml:space="preserve">200; dữ liệu coverage đúng.</x:t>
        </x:is>
      </x:c>
      <x:c r="E12" s="39" t="inlineStr">
        <x:is>
          <x:t xml:space="preserve">Mock BHXH active.</x:t>
        </x:is>
      </x:c>
      <x:c r="F12" s="39" t="inlineStr">
        <x:is>
          <x:t xml:space="preserve">Pending</x:t>
        </x:is>
      </x:c>
      <x:c r="I12" s="39" t="inlineStr">
        <x:is>
          <x:t xml:space="preserve">Pending</x:t>
        </x:is>
      </x:c>
      <x:c r="L12" s="39" t="inlineStr">
        <x:is>
          <x:t xml:space="preserve">Pending</x:t>
        </x:is>
      </x:c>
      <x:c r="O12" s="39" t="inlineStr">
        <x:is>
          <x:t xml:space="preserve">VP1,VP2</x:t>
        </x:is>
      </x:c>
      <x:c r="Q12" s="43"/>
    </x:row>
    <x:row r="13" ht="105" customHeight="1">
      <x:c r="A13" s="39" t="inlineStr">
        <x:is>
          <x:t xml:space="preserve">IT11-002</x:t>
        </x:is>
      </x:c>
      <x:c r="B13" s="39" t="inlineStr">
        <x:is>
          <x:t xml:space="preserve">Áp BHXH hóa đơn</x:t>
        </x:is>
      </x:c>
      <x:c r="C13" s="39" t="inlineStr">
        <x:is>
          <x:t xml:space="preserve">POST /invoices/{id}/insurance.</x:t>
        </x:is>
      </x:c>
      <x:c r="D13" s="45" t="inlineStr">
        <x:is>
          <x:t xml:space="preserve">Tổng BHXH/bệnh nhân trả đúng rule.</x:t>
        </x:is>
      </x:c>
      <x:c r="E13" s="39" t="inlineStr">
        <x:is>
          <x:t xml:space="preserve">Invoice PENDING đúng customer.</x:t>
        </x:is>
      </x:c>
      <x:c r="F13" s="39" t="inlineStr">
        <x:is>
          <x:t xml:space="preserve">Pending</x:t>
        </x:is>
      </x:c>
      <x:c r="I13" s="39" t="inlineStr">
        <x:is>
          <x:t xml:space="preserve">Pending</x:t>
        </x:is>
      </x:c>
      <x:c r="L13" s="39" t="inlineStr">
        <x:is>
          <x:t xml:space="preserve">Pending</x:t>
        </x:is>
      </x:c>
      <x:c r="O13" s="39" t="inlineStr">
        <x:is>
          <x:t xml:space="preserve">VP2,VP3</x:t>
        </x:is>
      </x:c>
      <x:c r="Q13" s="43"/>
    </x:row>
    <x:row r="14" ht="18" customHeight="1">
      <x:c r="A14" s="79" t="inlineStr">
        <x:is>
          <x:t xml:space="preserve">Validation nghiệp vụ</x:t>
        </x:is>
      </x:c>
      <x:c r="Q14" s="43"/>
    </x:row>
    <x:row r="15" s="30" customFormat="1" ht="105" customHeight="1">
      <x:c r="A15" s="39" t="inlineStr">
        <x:is>
          <x:t xml:space="preserve">IT11-003</x:t>
        </x:is>
      </x:c>
      <x:c r="B15" s="39" t="inlineStr">
        <x:is>
          <x:t xml:space="preserve">Mã BHXH sai</x:t>
        </x:is>
      </x:c>
      <x:c r="C15" s="39" t="inlineStr">
        <x:is>
          <x:t xml:space="preserve">Check mã không tồn tại.</x:t>
        </x:is>
      </x:c>
      <x:c r="D15" s="45" t="inlineStr">
        <x:is>
          <x:t xml:space="preserve">404/400; không cập nhật invoice.</x:t>
        </x:is>
      </x:c>
      <x:c r="E15" s="39" t="inlineStr">
        <x:is>
          <x:t xml:space="preserve">Mã invalid.</x:t>
        </x:is>
      </x:c>
      <x:c r="F15" s="39" t="inlineStr">
        <x:is>
          <x:t xml:space="preserve">Pending</x:t>
        </x:is>
      </x:c>
      <x:c r="I15" s="39" t="inlineStr">
        <x:is>
          <x:t xml:space="preserve">Pending</x:t>
        </x:is>
      </x:c>
      <x:c r="L15" s="39" t="inlineStr">
        <x:is>
          <x:t xml:space="preserve">Pending</x:t>
        </x:is>
      </x:c>
      <x:c r="O15" s="39" t="inlineStr">
        <x:is>
          <x:t xml:space="preserve">IP1</x:t>
        </x:is>
      </x:c>
      <x:c r="Q15" s="38"/>
    </x:row>
    <x:row r="16" ht="105" customHeight="1">
      <x:c r="A16" s="39" t="inlineStr">
        <x:is>
          <x:t xml:space="preserve">IT11-004</x:t>
        </x:is>
      </x:c>
      <x:c r="B16" s="39" t="inlineStr">
        <x:is>
          <x:t xml:space="preserve">Xác nhận giao dịch</x:t>
        </x:is>
      </x:c>
      <x:c r="C16" s="39" t="inlineStr">
        <x:is>
          <x:t xml:space="preserve">POST /transactions/{id}/confirm.</x:t>
        </x:is>
      </x:c>
      <x:c r="D16" s="45" t="inlineStr">
        <x:is>
          <x:t xml:space="preserve">Transaction SUCCESS; Invoice PAID.</x:t>
        </x:is>
      </x:c>
      <x:c r="E16" s="39" t="inlineStr">
        <x:is>
          <x:t xml:space="preserve">Transaction PENDING.</x:t>
        </x:is>
      </x:c>
      <x:c r="F16" s="39" t="inlineStr">
        <x:is>
          <x:t xml:space="preserve">Pending</x:t>
        </x:is>
      </x:c>
      <x:c r="I16" s="39" t="inlineStr">
        <x:is>
          <x:t xml:space="preserve">Pending</x:t>
        </x:is>
      </x:c>
      <x:c r="L16" s="39" t="inlineStr">
        <x:is>
          <x:t xml:space="preserve">Pending</x:t>
        </x:is>
      </x:c>
      <x:c r="O16" s="39" t="inlineStr">
        <x:is>
          <x:t xml:space="preserve">VP4,VP5</x:t>
        </x:is>
      </x:c>
      <x:c r="Q16" s="43"/>
    </x:row>
    <x:row r="17" ht="18">
      <x:c r="A17" s="79" t="inlineStr">
        <x:is>
          <x:t xml:space="preserve">Quyền/trạng thái biên</x:t>
        </x:is>
      </x:c>
    </x:row>
    <x:row r="18" ht="105" customHeight="1">
      <x:c r="A18" s="39" t="inlineStr">
        <x:is>
          <x:t xml:space="preserve">IT11-005</x:t>
        </x:is>
      </x:c>
      <x:c r="B18" s="39" t="inlineStr">
        <x:is>
          <x:t xml:space="preserve">Xác nhận lặp</x:t>
        </x:is>
      </x:c>
      <x:c r="C18" s="39" t="inlineStr">
        <x:is>
          <x:t xml:space="preserve">Confirm transaction SUCCESS.</x:t>
        </x:is>
      </x:c>
      <x:c r="D18" s="45" t="inlineStr">
        <x:is>
          <x:t xml:space="preserve">Không tạo side effect trùng.</x:t>
        </x:is>
      </x:c>
      <x:c r="E18" s="39" t="inlineStr">
        <x:is>
          <x:t xml:space="preserve">Transaction SUCCESS.</x:t>
        </x:is>
      </x:c>
      <x:c r="F18" s="39" t="inlineStr">
        <x:is>
          <x:t xml:space="preserve">Pending</x:t>
        </x:is>
      </x:c>
      <x:c r="I18" s="39" t="inlineStr">
        <x:is>
          <x:t xml:space="preserve">Pending</x:t>
        </x:is>
      </x:c>
      <x:c r="L18" s="39" t="inlineStr">
        <x:is>
          <x:t xml:space="preserve">Pending</x:t>
        </x:is>
      </x:c>
      <x:c r="O18" s="39" t="inlineStr">
        <x:is>
          <x:t xml:space="preserve">IP4</x:t>
        </x:is>
      </x:c>
    </x:row>
    <x:row r="19" s="44" customFormat="1" ht="105" customHeight="1">
      <x:c r="A19" s="39" t="inlineStr">
        <x:is>
          <x:t xml:space="preserve">IT11-006</x:t>
        </x:is>
      </x:c>
      <x:c r="B19" s="39" t="inlineStr">
        <x:is>
          <x:t xml:space="preserve">Sai chủ hóa đơn</x:t>
        </x:is>
      </x:c>
      <x:c r="C19" s="39" t="inlineStr">
        <x:is>
          <x:t xml:space="preserve">GET /api/patient/payments/{invoiceId} người khác.</x:t>
        </x:is>
      </x:c>
      <x:c r="D19" s="45" t="inlineStr">
        <x:is>
          <x:t xml:space="preserve">403/404; không trả dữ liệu.</x:t>
        </x:is>
      </x:c>
      <x:c r="E19" s="39" t="inlineStr">
        <x:is>
          <x:t xml:space="preserve">Hai customer.</x:t>
        </x:is>
      </x:c>
      <x:c r="F19" s="39" t="inlineStr">
        <x:is>
          <x:t xml:space="preserve">Pending</x:t>
        </x:is>
      </x:c>
      <x:c r="I19" s="39" t="inlineStr">
        <x:is>
          <x:t xml:space="preserve">Pending</x:t>
        </x:is>
      </x:c>
      <x:c r="L19" s="39" t="inlineStr">
        <x:is>
          <x:t xml:space="preserve">Pending</x:t>
        </x:is>
      </x:c>
      <x:c r="O19" s="39" t="inlineStr">
        <x:is>
          <x:t xml:space="preserve">IP6</x:t>
        </x:is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84f1bdaedf314898"/>
</x:worksheet>
</file>

<file path=xl/worksheets/sheet38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inlineStr">
        <x:is>
          <x:t xml:space="preserve">Test Condition Analysis</x:t>
        </x:is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inlineStr">
        <x:is>
          <x:t xml:space="preserve">Condition</x:t>
        </x:is>
      </x:c>
      <x:c r="B2" s="83" t="inlineStr">
        <x:is>
          <x:t xml:space="preserve">Valid Partitions</x:t>
        </x:is>
      </x:c>
      <x:c r="C2" s="83" t="inlineStr">
        <x:is>
          <x:t xml:space="preserve">Tag</x:t>
        </x:is>
      </x:c>
      <x:c r="D2" s="83" t="inlineStr">
        <x:is>
          <x:t xml:space="preserve">Invalid Partitions</x:t>
        </x:is>
      </x:c>
      <x:c r="E2" s="83" t="inlineStr">
        <x:is>
          <x:t xml:space="preserve">Tag</x:t>
        </x:is>
      </x:c>
      <x:c r="F2" s="83" t="inlineStr">
        <x:is>
          <x:t xml:space="preserve">Valid Boundaries</x:t>
        </x:is>
      </x:c>
      <x:c r="G2" s="83" t="inlineStr">
        <x:is>
          <x:t xml:space="preserve">Tag</x:t>
        </x:is>
      </x:c>
      <x:c r="H2" s="83" t="inlineStr">
        <x:is>
          <x:t xml:space="preserve">Invalid Boundaries</x:t>
        </x:is>
      </x:c>
      <x:c r="I2" s="83" t="inlineStr">
        <x:is>
          <x:t xml:space="preserve">Tag</x:t>
        </x:is>
      </x:c>
    </x:row>
    <x:row r="3" ht="42" customHeight="1">
      <x:c r="A3" s="130" t="inlineStr">
        <x:is>
          <x:t xml:space="preserve">staff</x:t>
        </x:is>
      </x:c>
      <x:c r="B3" s="129" t="inlineStr">
        <x:is>
          <x:t xml:space="preserve">Tồn tại, active</x:t>
        </x:is>
      </x:c>
      <x:c r="C3" s="129" t="inlineStr">
        <x:is>
          <x:t xml:space="preserve">VP1</x:t>
        </x:is>
      </x:c>
      <x:c r="D3" s="129" t="inlineStr">
        <x:is>
          <x:t xml:space="preserve">Không tồn tại/bị khóa</x:t>
        </x:is>
      </x:c>
      <x:c r="E3" s="129" t="inlineStr">
        <x:is>
          <x:t xml:space="preserve">IP1</x:t>
        </x:is>
      </x:c>
      <x:c r="F3" s="129" t="inlineStr">
        <x:is>
          <x:t xml:space="preserve">N/A</x:t>
        </x:is>
      </x:c>
      <x:c r="G3" s="129" t="inlineStr">
        <x:is>
          <x:t xml:space="preserve">VB1</x:t>
        </x:is>
      </x:c>
      <x:c r="H3" s="129" t="inlineStr">
        <x:is>
          <x:t xml:space="preserve">Null</x:t>
        </x:is>
      </x:c>
      <x:c r="I3" s="129" t="inlineStr">
        <x:is>
          <x:t xml:space="preserve">IB1</x:t>
        </x:is>
      </x:c>
    </x:row>
    <x:row r="4" ht="42" customHeight="1">
      <x:c r="A4" s="130" t="inlineStr">
        <x:is>
          <x:t xml:space="preserve">systemRole</x:t>
        </x:is>
      </x:c>
      <x:c r="B4" s="129" t="inlineStr">
        <x:is>
          <x:t xml:space="preserve">Role hợp lệ</x:t>
        </x:is>
      </x:c>
      <x:c r="C4" s="129" t="inlineStr">
        <x:is>
          <x:t xml:space="preserve">VP2</x:t>
        </x:is>
      </x:c>
      <x:c r="D4" s="129" t="inlineStr">
        <x:is>
          <x:t xml:space="preserve">Role không phù hợp</x:t>
        </x:is>
      </x:c>
      <x:c r="E4" s="129" t="inlineStr">
        <x:is>
          <x:t xml:space="preserve">IP2</x:t>
        </x:is>
      </x:c>
      <x:c r="F4" s="129" t="inlineStr">
        <x:is>
          <x:t xml:space="preserve">N/A</x:t>
        </x:is>
      </x:c>
      <x:c r="G4" s="129" t="inlineStr">
        <x:is>
          <x:t xml:space="preserve">VB2</x:t>
        </x:is>
      </x:c>
      <x:c r="H4" s="129" t="inlineStr">
        <x:is>
          <x:t xml:space="preserve">Null</x:t>
        </x:is>
      </x:c>
      <x:c r="I4" s="129" t="inlineStr">
        <x:is>
          <x:t xml:space="preserve">IB2</x:t>
        </x:is>
      </x:c>
    </x:row>
    <x:row r="5" ht="42" customHeight="1">
      <x:c r="A5" s="130" t="inlineStr">
        <x:is>
          <x:t xml:space="preserve">schedule time</x:t>
        </x:is>
      </x:c>
      <x:c r="B5" s="129" t="inlineStr">
        <x:is>
          <x:t xml:space="preserve">Không chồng lịch</x:t>
        </x:is>
      </x:c>
      <x:c r="C5" s="129" t="inlineStr">
        <x:is>
          <x:t xml:space="preserve">VP3</x:t>
        </x:is>
      </x:c>
      <x:c r="D5" s="129" t="inlineStr">
        <x:is>
          <x:t xml:space="preserve">Chồng ca</x:t>
        </x:is>
      </x:c>
      <x:c r="E5" s="129" t="inlineStr">
        <x:is>
          <x:t xml:space="preserve">IP3</x:t>
        </x:is>
      </x:c>
      <x:c r="F5" s="129" t="inlineStr">
        <x:is>
          <x:t xml:space="preserve">Sát đầu/cuối ca</x:t>
        </x:is>
      </x:c>
      <x:c r="G5" s="129" t="inlineStr">
        <x:is>
          <x:t xml:space="preserve">VB3</x:t>
        </x:is>
      </x:c>
      <x:c r="H5" s="129" t="inlineStr">
        <x:is>
          <x:t xml:space="preserve">Chồng 1 phút</x:t>
        </x:is>
      </x:c>
      <x:c r="I5" s="129" t="inlineStr">
        <x:is>
          <x:t xml:space="preserve">IB3</x:t>
        </x:is>
      </x:c>
    </x:row>
    <x:row r="6" ht="42" customHeight="1">
      <x:c r="A6" s="130" t="inlineStr">
        <x:is>
          <x:t xml:space="preserve">capability</x:t>
        </x:is>
      </x:c>
      <x:c r="B6" s="129" t="inlineStr">
        <x:is>
          <x:t xml:space="preserve">Đúng chuyên môn/khoa</x:t>
        </x:is>
      </x:c>
      <x:c r="C6" s="129" t="inlineStr">
        <x:is>
          <x:t xml:space="preserve">VP4</x:t>
        </x:is>
      </x:c>
      <x:c r="D6" s="129" t="inlineStr">
        <x:is>
          <x:t xml:space="preserve">Không đủ capability</x:t>
        </x:is>
      </x:c>
      <x:c r="E6" s="129" t="inlineStr">
        <x:is>
          <x:t xml:space="preserve">IP4</x:t>
        </x:is>
      </x:c>
      <x:c r="F6" s="129" t="inlineStr">
        <x:is>
          <x:t xml:space="preserve">1 capability</x:t>
        </x:is>
      </x:c>
      <x:c r="G6" s="129" t="inlineStr">
        <x:is>
          <x:t xml:space="preserve">VB4</x:t>
        </x:is>
      </x:c>
      <x:c r="H6" s="129" t="inlineStr">
        <x:is>
          <x:t xml:space="preserve">0 capability</x:t>
        </x:is>
      </x:c>
      <x:c r="I6" s="129" t="inlineStr">
        <x:is>
          <x:t xml:space="preserve">IB4</x:t>
        </x:is>
      </x:c>
    </x:row>
    <x:row r="7" ht="42" customHeight="1">
      <x:c r="A7" s="130" t="inlineStr">
        <x:is>
          <x:t xml:space="preserve">attendance token</x:t>
        </x:is>
      </x:c>
      <x:c r="B7" s="129" t="inlineStr">
        <x:is>
          <x:t xml:space="preserve">Token kiosk hợp lệ/còn hạn</x:t>
        </x:is>
      </x:c>
      <x:c r="C7" s="129" t="inlineStr">
        <x:is>
          <x:t xml:space="preserve">VP5</x:t>
        </x:is>
      </x:c>
      <x:c r="D7" s="129" t="inlineStr">
        <x:is>
          <x:t xml:space="preserve">Sai/hết hạn/dùng lại</x:t>
        </x:is>
      </x:c>
      <x:c r="E7" s="129" t="inlineStr">
        <x:is>
          <x:t xml:space="preserve">IP5</x:t>
        </x:is>
      </x:c>
      <x:c r="F7" s="129" t="inlineStr">
        <x:is>
          <x:t xml:space="preserve">Ngay trước hết hạn</x:t>
        </x:is>
      </x:c>
      <x:c r="G7" s="129" t="inlineStr">
        <x:is>
          <x:t xml:space="preserve">VB5</x:t>
        </x:is>
      </x:c>
      <x:c r="H7" s="129" t="inlineStr">
        <x:is>
          <x:t xml:space="preserve">Sau hết hạn</x:t>
        </x:is>
      </x:c>
      <x:c r="I7" s="129" t="inlineStr">
        <x:is>
          <x:t xml:space="preserve">IB5</x:t>
        </x:is>
      </x:c>
    </x:row>
    <x:row r="8" ht="42" customHeight="1">
      <x:c r="A8" s="130" t="inlineStr">
        <x:is>
          <x:t xml:space="preserve">adjustment</x:t>
        </x:is>
      </x:c>
      <x:c r="B8" s="129" t="inlineStr">
        <x:is>
          <x:t xml:space="preserve">PENDING trước review</x:t>
        </x:is>
      </x:c>
      <x:c r="C8" s="129" t="inlineStr">
        <x:is>
          <x:t xml:space="preserve">VP6</x:t>
        </x:is>
      </x:c>
      <x:c r="D8" s="129" t="inlineStr">
        <x:is>
          <x:t xml:space="preserve">Đã review/sai owner</x:t>
        </x:is>
      </x:c>
      <x:c r="E8" s="129" t="inlineStr">
        <x:is>
          <x:t xml:space="preserve">IP6</x:t>
        </x:is>
      </x:c>
      <x:c r="F8" s="129" t="inlineStr">
        <x:is>
          <x:t xml:space="preserve">N/A</x:t>
        </x:is>
      </x:c>
      <x:c r="G8" s="129" t="inlineStr">
        <x:is>
          <x:t xml:space="preserve">VB6</x:t>
        </x:is>
      </x:c>
      <x:c r="H8" s="129" t="inlineStr">
        <x:is>
          <x:t xml:space="preserve">N/A</x:t>
        </x:is>
      </x:c>
      <x:c r="I8" s="129" t="inlineStr">
        <x:is>
          <x:t xml:space="preserve">IB6</x:t>
        </x:is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inlineStr">
        <x:is>
          <x:t xml:space="preserve">* Notes:</x:t>
        </x:is>
      </x:c>
      <x:c r="B27" s="141" t="inlineStr">
        <x:is>
          <x:t xml:space="preserve">Đối chiếu tag VP/IP/VB/IB với Test Design.</x:t>
        </x:is>
      </x:c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inlineStr">
        <x:is>
          <x:t xml:space="preserve">Test case design</x:t>
        </x:is>
      </x:c>
      <x:c r="B1" s="172"/>
      <x:c r="C1" s="172"/>
      <x:c r="D1" s="172"/>
    </x:row>
    <x:row r="2" ht="25.5">
      <x:c r="A2" s="83" t="inlineStr">
        <x:is>
          <x:t xml:space="preserve">Test-case No</x:t>
        </x:is>
      </x:c>
      <x:c r="B2" s="83" t="inlineStr">
        <x:is>
          <x:t xml:space="preserve">Description</x:t>
        </x:is>
      </x:c>
      <x:c r="C2" s="83" t="inlineStr">
        <x:is>
          <x:t xml:space="preserve">Expected result</x:t>
        </x:is>
      </x:c>
      <x:c r="D2" s="83" t="inlineStr">
        <x:is>
          <x:t xml:space="preserve">TAG</x:t>
        </x:is>
      </x:c>
    </x:row>
    <x:row r="3" ht="82" customHeight="1">
      <x:c r="A3" s="152">
        <x:v>1</x:v>
      </x:c>
      <x:c r="B3" s="151" t="inlineStr">
        <x:is>
          <x:t xml:space="preserve">Tạo lịch nhân viên hợp lệ.</x:t>
        </x:is>
      </x:c>
      <x:c r="C3" s="151" t="inlineStr">
        <x:is>
          <x:t xml:space="preserve">Schedule active, đúng staff/shift.</x:t>
        </x:is>
      </x:c>
      <x:c r="D3" s="151" t="inlineStr">
        <x:is>
          <x:t xml:space="preserve">VP1,VP2,VP3,VP4</x:t>
        </x:is>
      </x:c>
    </x:row>
    <x:row r="4" ht="82" customHeight="1">
      <x:c r="A4" s="152">
        <x:v>2</x:v>
      </x:c>
      <x:c r="B4" s="151" t="inlineStr">
        <x:is>
          <x:t xml:space="preserve">Tạo lịch chồng ca.</x:t>
        </x:is>
      </x:c>
      <x:c r="C4" s="151" t="inlineStr">
        <x:is>
          <x:t xml:space="preserve">409/400; không lưu.</x:t>
        </x:is>
      </x:c>
      <x:c r="D4" s="151" t="inlineStr">
        <x:is>
          <x:t xml:space="preserve">IP3,IB3</x:t>
        </x:is>
      </x:c>
    </x:row>
    <x:row r="5" ht="82" customHeight="1">
      <x:c r="A5" s="152">
        <x:v>3</x:v>
      </x:c>
      <x:c r="B5" s="151" t="inlineStr">
        <x:is>
          <x:t xml:space="preserve">Nhân viên thiếu capability.</x:t>
        </x:is>
      </x:c>
      <x:c r="C5" s="151" t="inlineStr">
        <x:is>
          <x:t xml:space="preserve">400; không assign.</x:t>
        </x:is>
      </x:c>
      <x:c r="D5" s="151" t="inlineStr">
        <x:is>
          <x:t xml:space="preserve">IP4</x:t>
        </x:is>
      </x:c>
    </x:row>
    <x:row r="6" ht="82" customHeight="1">
      <x:c r="A6" s="152">
        <x:v>4</x:v>
      </x:c>
      <x:c r="B6" s="151" t="inlineStr">
        <x:is>
          <x:t xml:space="preserve">Quét chấm công hợp lệ.</x:t>
        </x:is>
      </x:c>
      <x:c r="C6" s="151" t="inlineStr">
        <x:is>
          <x:t xml:space="preserve">Attendance ghi check-in/out.</x:t>
        </x:is>
      </x:c>
      <x:c r="D6" s="151" t="inlineStr">
        <x:is>
          <x:t xml:space="preserve">VP5</x:t>
        </x:is>
      </x:c>
    </x:row>
    <x:row r="7" ht="82" customHeight="1">
      <x:c r="A7" s="152">
        <x:v>5</x:v>
      </x:c>
      <x:c r="B7" s="151" t="inlineStr">
        <x:is>
          <x:t xml:space="preserve">Token hết hạn/dùng lại.</x:t>
        </x:is>
      </x:c>
      <x:c r="C7" s="151" t="inlineStr">
        <x:is>
          <x:t xml:space="preserve">400; không ghi trùng.</x:t>
        </x:is>
      </x:c>
      <x:c r="D7" s="151" t="inlineStr">
        <x:is>
          <x:t xml:space="preserve">IP5,IB5</x:t>
        </x:is>
      </x:c>
    </x:row>
    <x:row r="8" ht="82" customHeight="1">
      <x:c r="A8" s="152">
        <x:v>6</x:v>
      </x:c>
      <x:c r="B8" s="151" t="inlineStr">
        <x:is>
          <x:t xml:space="preserve">Manager duyệt điều chỉnh.</x:t>
        </x:is>
      </x:c>
      <x:c r="C8" s="151" t="inlineStr">
        <x:is>
          <x:t xml:space="preserve">Adjustment chuyển APPROVED/REJECTED.</x:t>
        </x:is>
      </x:c>
      <x:c r="D8" s="151" t="inlineStr">
        <x:is>
          <x:t xml:space="preserve">VP6</x:t>
        </x:is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inlineStr">
        <x:is>
          <x:t xml:space="preserve">IT12 - Nhân sự, lịch và chấm công</x:t>
        </x:is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inlineStr">
        <x:is>
          <x:t xml:space="preserve">Staff -&gt; Capability -&gt; Schedule -&gt; Attendance/Adjustment.</x:t>
        </x:is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f>COUNTIF(A12:A1000,"IT*")</x:f>
        <x:v>0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inlineStr">
        <x:is>
          <x:t xml:space="preserve">Test Case ID</x:t>
        </x:is>
      </x:c>
      <x:c r="B10" s="83" t="inlineStr">
        <x:is>
          <x:t xml:space="preserve">Test Case Description</x:t>
        </x:is>
      </x:c>
      <x:c r="C10" s="83" t="inlineStr">
        <x:is>
          <x:t xml:space="preserve">Test Case Procedure</x:t>
        </x:is>
      </x:c>
      <x:c r="D10" s="83" t="inlineStr">
        <x:is>
          <x:t xml:space="preserve">Expected Results</x:t>
        </x:is>
      </x:c>
      <x:c r="E10" s="83" t="inlineStr">
        <x:is>
          <x:t xml:space="preserve">Pre-conditions</x:t>
        </x:is>
      </x:c>
      <x:c r="F10" s="83" t="inlineStr">
        <x:is>
          <x:t xml:space="preserve">Round 1</x:t>
        </x:is>
      </x:c>
      <x:c r="G10" s="83" t="inlineStr">
        <x:is>
          <x:t xml:space="preserve">Test date</x:t>
        </x:is>
      </x:c>
      <x:c r="H10" s="83" t="inlineStr">
        <x:is>
          <x:t xml:space="preserve">Tester</x:t>
        </x:is>
      </x:c>
      <x:c r="I10" s="83" t="inlineStr">
        <x:is>
          <x:t xml:space="preserve">Round 2</x:t>
        </x:is>
      </x:c>
      <x:c r="J10" s="83" t="inlineStr">
        <x:is>
          <x:t xml:space="preserve">Test date</x:t>
        </x:is>
      </x:c>
      <x:c r="K10" s="83" t="inlineStr">
        <x:is>
          <x:t xml:space="preserve">Tester</x:t>
        </x:is>
      </x:c>
      <x:c r="L10" s="83" t="inlineStr">
        <x:is>
          <x:t xml:space="preserve">Round 3</x:t>
        </x:is>
      </x:c>
      <x:c r="M10" s="83" t="inlineStr">
        <x:is>
          <x:t xml:space="preserve">Test date</x:t>
        </x:is>
      </x:c>
      <x:c r="N10" s="83" t="inlineStr">
        <x:is>
          <x:t xml:space="preserve">Tester</x:t>
        </x:is>
      </x:c>
      <x:c r="O10" s="83" t="inlineStr">
        <x:is>
          <x:t xml:space="preserve">Note</x:t>
        </x:is>
      </x:c>
      <x:c r="Q10" s="34"/>
    </x:row>
    <x:row r="11" s="30" customFormat="1" ht="18" customHeight="1">
      <x:c r="A11" s="79" t="inlineStr">
        <x:is>
          <x:t xml:space="preserve">Luồng hợp lệ</x:t>
        </x:is>
      </x:c>
      <x:c r="Q11" s="38"/>
    </x:row>
    <x:row r="12" s="44" customFormat="1" ht="105" customHeight="1">
      <x:c r="A12" s="39" t="inlineStr">
        <x:is>
          <x:t xml:space="preserve">IT12-001</x:t>
        </x:is>
      </x:c>
      <x:c r="B12" s="39" t="inlineStr">
        <x:is>
          <x:t xml:space="preserve">Xếp lịch hợp lệ</x:t>
        </x:is>
      </x:c>
      <x:c r="C12" s="39" t="inlineStr">
        <x:is>
          <x:t xml:space="preserve">POST /api/v1/schedules.</x:t>
        </x:is>
      </x:c>
      <x:c r="D12" s="45" t="inlineStr">
        <x:is>
          <x:t xml:space="preserve">201; Schedule đúng staff/shift/khoa.</x:t>
        </x:is>
      </x:c>
      <x:c r="E12" s="39" t="inlineStr">
        <x:is>
          <x:t xml:space="preserve">Staff active, capability phù hợp.</x:t>
        </x:is>
      </x:c>
      <x:c r="F12" s="39" t="inlineStr">
        <x:is>
          <x:t xml:space="preserve">Pending</x:t>
        </x:is>
      </x:c>
      <x:c r="I12" s="39" t="inlineStr">
        <x:is>
          <x:t xml:space="preserve">Pending</x:t>
        </x:is>
      </x:c>
      <x:c r="L12" s="39" t="inlineStr">
        <x:is>
          <x:t xml:space="preserve">Pending</x:t>
        </x:is>
      </x:c>
      <x:c r="O12" s="39" t="inlineStr">
        <x:is>
          <x:t xml:space="preserve">VP1,VP2,VP3,VP4</x:t>
        </x:is>
      </x:c>
      <x:c r="Q12" s="43"/>
    </x:row>
    <x:row r="13" ht="105" customHeight="1">
      <x:c r="A13" s="39" t="inlineStr">
        <x:is>
          <x:t xml:space="preserve">IT12-002</x:t>
        </x:is>
      </x:c>
      <x:c r="B13" s="39" t="inlineStr">
        <x:is>
          <x:t xml:space="preserve">Lịch chồng ca</x:t>
        </x:is>
      </x:c>
      <x:c r="C13" s="39" t="inlineStr">
        <x:is>
          <x:t xml:space="preserve">Tạo ca chồng lịch hiện có 1 phút.</x:t>
        </x:is>
      </x:c>
      <x:c r="D13" s="45" t="inlineStr">
        <x:is>
          <x:t xml:space="preserve">409/400; không lưu.</x:t>
        </x:is>
      </x:c>
      <x:c r="E13" s="39" t="inlineStr">
        <x:is>
          <x:t xml:space="preserve">Có schedule cũ.</x:t>
        </x:is>
      </x:c>
      <x:c r="F13" s="39" t="inlineStr">
        <x:is>
          <x:t xml:space="preserve">Pending</x:t>
        </x:is>
      </x:c>
      <x:c r="I13" s="39" t="inlineStr">
        <x:is>
          <x:t xml:space="preserve">Pending</x:t>
        </x:is>
      </x:c>
      <x:c r="L13" s="39" t="inlineStr">
        <x:is>
          <x:t xml:space="preserve">Pending</x:t>
        </x:is>
      </x:c>
      <x:c r="O13" s="39" t="inlineStr">
        <x:is>
          <x:t xml:space="preserve">IP3,IB3</x:t>
        </x:is>
      </x:c>
      <x:c r="Q13" s="43"/>
    </x:row>
    <x:row r="14" ht="18" customHeight="1">
      <x:c r="A14" s="79" t="inlineStr">
        <x:is>
          <x:t xml:space="preserve">Validation nghiệp vụ</x:t>
        </x:is>
      </x:c>
      <x:c r="Q14" s="43"/>
    </x:row>
    <x:row r="15" s="30" customFormat="1" ht="105" customHeight="1">
      <x:c r="A15" s="39" t="inlineStr">
        <x:is>
          <x:t xml:space="preserve">IT12-003</x:t>
        </x:is>
      </x:c>
      <x:c r="B15" s="39" t="inlineStr">
        <x:is>
          <x:t xml:space="preserve">Thiếu capability</x:t>
        </x:is>
      </x:c>
      <x:c r="C15" s="39" t="inlineStr">
        <x:is>
          <x:t xml:space="preserve">Assign staff vào dịch vụ không đủ capability.</x:t>
        </x:is>
      </x:c>
      <x:c r="D15" s="45" t="inlineStr">
        <x:is>
          <x:t xml:space="preserve">400; không tạo schedule.</x:t>
        </x:is>
      </x:c>
      <x:c r="E15" s="39" t="inlineStr">
        <x:is>
          <x:t xml:space="preserve">Staff active.</x:t>
        </x:is>
      </x:c>
      <x:c r="F15" s="39" t="inlineStr">
        <x:is>
          <x:t xml:space="preserve">Pending</x:t>
        </x:is>
      </x:c>
      <x:c r="I15" s="39" t="inlineStr">
        <x:is>
          <x:t xml:space="preserve">Pending</x:t>
        </x:is>
      </x:c>
      <x:c r="L15" s="39" t="inlineStr">
        <x:is>
          <x:t xml:space="preserve">Pending</x:t>
        </x:is>
      </x:c>
      <x:c r="O15" s="39" t="inlineStr">
        <x:is>
          <x:t xml:space="preserve">IP4</x:t>
        </x:is>
      </x:c>
      <x:c r="Q15" s="38"/>
    </x:row>
    <x:row r="16" ht="105" customHeight="1">
      <x:c r="A16" s="39" t="inlineStr">
        <x:is>
          <x:t xml:space="preserve">IT12-004</x:t>
        </x:is>
      </x:c>
      <x:c r="B16" s="39" t="inlineStr">
        <x:is>
          <x:t xml:space="preserve">Quét chấm công</x:t>
        </x:is>
      </x:c>
      <x:c r="C16" s="39" t="inlineStr">
        <x:is>
          <x:t xml:space="preserve">POST /api/v1/attendance/scan token hợp lệ.</x:t>
        </x:is>
      </x:c>
      <x:c r="D16" s="45" t="inlineStr">
        <x:is>
          <x:t xml:space="preserve">Attendance ghi đúng staff/time.</x:t>
        </x:is>
      </x:c>
      <x:c r="E16" s="39" t="inlineStr">
        <x:is>
          <x:t xml:space="preserve">Token kiosk còn hạn.</x:t>
        </x:is>
      </x:c>
      <x:c r="F16" s="39" t="inlineStr">
        <x:is>
          <x:t xml:space="preserve">Pending</x:t>
        </x:is>
      </x:c>
      <x:c r="I16" s="39" t="inlineStr">
        <x:is>
          <x:t xml:space="preserve">Pending</x:t>
        </x:is>
      </x:c>
      <x:c r="L16" s="39" t="inlineStr">
        <x:is>
          <x:t xml:space="preserve">Pending</x:t>
        </x:is>
      </x:c>
      <x:c r="O16" s="39" t="inlineStr">
        <x:is>
          <x:t xml:space="preserve">VP5</x:t>
        </x:is>
      </x:c>
      <x:c r="Q16" s="43"/>
    </x:row>
    <x:row r="17" ht="18">
      <x:c r="A17" s="79" t="inlineStr">
        <x:is>
          <x:t xml:space="preserve">Quyền/trạng thái biên</x:t>
        </x:is>
      </x:c>
    </x:row>
    <x:row r="18" ht="105" customHeight="1">
      <x:c r="A18" s="39" t="inlineStr">
        <x:is>
          <x:t xml:space="preserve">IT12-005</x:t>
        </x:is>
      </x:c>
      <x:c r="B18" s="39" t="inlineStr">
        <x:is>
          <x:t xml:space="preserve">Token hết hạn</x:t>
        </x:is>
      </x:c>
      <x:c r="C18" s="39" t="inlineStr">
        <x:is>
          <x:t xml:space="preserve">Scan token hết hạn/dùng lại.</x:t>
        </x:is>
      </x:c>
      <x:c r="D18" s="45" t="inlineStr">
        <x:is>
          <x:t xml:space="preserve">400; không duplicate attendance.</x:t>
        </x:is>
      </x:c>
      <x:c r="E18" s="39" t="inlineStr">
        <x:is>
          <x:t xml:space="preserve">Token invalid.</x:t>
        </x:is>
      </x:c>
      <x:c r="F18" s="39" t="inlineStr">
        <x:is>
          <x:t xml:space="preserve">Pending</x:t>
        </x:is>
      </x:c>
      <x:c r="I18" s="39" t="inlineStr">
        <x:is>
          <x:t xml:space="preserve">Pending</x:t>
        </x:is>
      </x:c>
      <x:c r="L18" s="39" t="inlineStr">
        <x:is>
          <x:t xml:space="preserve">Pending</x:t>
        </x:is>
      </x:c>
      <x:c r="O18" s="39" t="inlineStr">
        <x:is>
          <x:t xml:space="preserve">IP5,IB5</x:t>
        </x:is>
      </x:c>
    </x:row>
    <x:row r="19" s="44" customFormat="1" ht="105" customHeight="1">
      <x:c r="A19" s="39" t="inlineStr">
        <x:is>
          <x:t xml:space="preserve">IT12-006</x:t>
        </x:is>
      </x:c>
      <x:c r="B19" s="39" t="inlineStr">
        <x:is>
          <x:t xml:space="preserve">Duyệt điều chỉnh</x:t>
        </x:is>
      </x:c>
      <x:c r="C19" s="39" t="inlineStr">
        <x:is>
          <x:t xml:space="preserve">PUT /attendance/adjustments/{id}/review.</x:t>
        </x:is>
      </x:c>
      <x:c r="D19" s="45" t="inlineStr">
        <x:is>
          <x:t xml:space="preserve">Status APPROVED/REJECTED; audit đúng manager.</x:t>
        </x:is>
      </x:c>
      <x:c r="E19" s="39" t="inlineStr">
        <x:is>
          <x:t xml:space="preserve">Adjustment PENDING.</x:t>
        </x:is>
      </x:c>
      <x:c r="F19" s="39" t="inlineStr">
        <x:is>
          <x:t xml:space="preserve">Pending</x:t>
        </x:is>
      </x:c>
      <x:c r="I19" s="39" t="inlineStr">
        <x:is>
          <x:t xml:space="preserve">Pending</x:t>
        </x:is>
      </x:c>
      <x:c r="L19" s="39" t="inlineStr">
        <x:is>
          <x:t xml:space="preserve">Pending</x:t>
        </x:is>
      </x:c>
      <x:c r="O19" s="39" t="inlineStr">
        <x:is>
          <x:t xml:space="preserve">VP6</x:t>
        </x:is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2f8a7e6bca76427e"/>
</x:worksheet>
</file>

<file path=xl/worksheets/sheet41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inlineStr">
        <x:is>
          <x:t xml:space="preserve">Test Condition Analysis</x:t>
        </x:is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inlineStr">
        <x:is>
          <x:t xml:space="preserve">Condition</x:t>
        </x:is>
      </x:c>
      <x:c r="B2" s="83" t="inlineStr">
        <x:is>
          <x:t xml:space="preserve">Valid Partitions</x:t>
        </x:is>
      </x:c>
      <x:c r="C2" s="83" t="inlineStr">
        <x:is>
          <x:t xml:space="preserve">Tag</x:t>
        </x:is>
      </x:c>
      <x:c r="D2" s="83" t="inlineStr">
        <x:is>
          <x:t xml:space="preserve">Invalid Partitions</x:t>
        </x:is>
      </x:c>
      <x:c r="E2" s="83" t="inlineStr">
        <x:is>
          <x:t xml:space="preserve">Tag</x:t>
        </x:is>
      </x:c>
      <x:c r="F2" s="83" t="inlineStr">
        <x:is>
          <x:t xml:space="preserve">Valid Boundaries</x:t>
        </x:is>
      </x:c>
      <x:c r="G2" s="83" t="inlineStr">
        <x:is>
          <x:t xml:space="preserve">Tag</x:t>
        </x:is>
      </x:c>
      <x:c r="H2" s="83" t="inlineStr">
        <x:is>
          <x:t xml:space="preserve">Invalid Boundaries</x:t>
        </x:is>
      </x:c>
      <x:c r="I2" s="83" t="inlineStr">
        <x:is>
          <x:t xml:space="preserve">Tag</x:t>
        </x:is>
      </x:c>
    </x:row>
    <x:row r="3" ht="42" customHeight="1">
      <x:c r="A3" s="130" t="inlineStr">
        <x:is>
          <x:t xml:space="preserve">admin role</x:t>
        </x:is>
      </x:c>
      <x:c r="B3" s="129" t="inlineStr">
        <x:is>
          <x:t xml:space="preserve">ADMIN/CLINIC_MANAGER đúng API</x:t>
        </x:is>
      </x:c>
      <x:c r="C3" s="129" t="inlineStr">
        <x:is>
          <x:t xml:space="preserve">VP1</x:t>
        </x:is>
      </x:c>
      <x:c r="D3" s="129" t="inlineStr">
        <x:is>
          <x:t xml:space="preserve">Sai role</x:t>
        </x:is>
      </x:c>
      <x:c r="E3" s="129" t="inlineStr">
        <x:is>
          <x:t xml:space="preserve">IP1</x:t>
        </x:is>
      </x:c>
      <x:c r="F3" s="129" t="inlineStr">
        <x:is>
          <x:t xml:space="preserve">N/A</x:t>
        </x:is>
      </x:c>
      <x:c r="G3" s="129" t="inlineStr">
        <x:is>
          <x:t xml:space="preserve">VB1</x:t>
        </x:is>
      </x:c>
      <x:c r="H3" s="129" t="inlineStr">
        <x:is>
          <x:t xml:space="preserve">Null</x:t>
        </x:is>
      </x:c>
      <x:c r="I3" s="129" t="inlineStr">
        <x:is>
          <x:t xml:space="preserve">IB1</x:t>
        </x:is>
      </x:c>
    </x:row>
    <x:row r="4" ht="42" customHeight="1">
      <x:c r="A4" s="130" t="inlineStr">
        <x:is>
          <x:t xml:space="preserve">code/name</x:t>
        </x:is>
      </x:c>
      <x:c r="B4" s="129" t="inlineStr">
        <x:is>
          <x:t xml:space="preserve">Không rỗng, unique</x:t>
        </x:is>
      </x:c>
      <x:c r="C4" s="129" t="inlineStr">
        <x:is>
          <x:t xml:space="preserve">VP2</x:t>
        </x:is>
      </x:c>
      <x:c r="D4" s="129" t="inlineStr">
        <x:is>
          <x:t xml:space="preserve">Rỗng/trùng</x:t>
        </x:is>
      </x:c>
      <x:c r="E4" s="129" t="inlineStr">
        <x:is>
          <x:t xml:space="preserve">IP2</x:t>
        </x:is>
      </x:c>
      <x:c r="F4" s="129" t="inlineStr">
        <x:is>
          <x:t xml:space="preserve">Min/max length</x:t>
        </x:is>
      </x:c>
      <x:c r="G4" s="129" t="inlineStr">
        <x:is>
          <x:t xml:space="preserve">VB2</x:t>
        </x:is>
      </x:c>
      <x:c r="H4" s="129" t="inlineStr">
        <x:is>
          <x:t xml:space="preserve">Ngoài length</x:t>
        </x:is>
      </x:c>
      <x:c r="I4" s="129" t="inlineStr">
        <x:is>
          <x:t xml:space="preserve">IB2</x:t>
        </x:is>
      </x:c>
    </x:row>
    <x:row r="5" ht="42" customHeight="1">
      <x:c r="A5" s="130" t="inlineStr">
        <x:is>
          <x:t xml:space="preserve">department status</x:t>
        </x:is>
      </x:c>
      <x:c r="B5" s="129" t="inlineStr">
        <x:is>
          <x:t xml:space="preserve">ACTIVE/INACTIVE/MAINTENANCE hợp lệ</x:t>
        </x:is>
      </x:c>
      <x:c r="C5" s="129" t="inlineStr">
        <x:is>
          <x:t xml:space="preserve">VP3</x:t>
        </x:is>
      </x:c>
      <x:c r="D5" s="129" t="inlineStr">
        <x:is>
          <x:t xml:space="preserve">Ngoài enum</x:t>
        </x:is>
      </x:c>
      <x:c r="E5" s="129" t="inlineStr">
        <x:is>
          <x:t xml:space="preserve">IP3</x:t>
        </x:is>
      </x:c>
      <x:c r="F5" s="129" t="inlineStr">
        <x:is>
          <x:t xml:space="preserve">N/A</x:t>
        </x:is>
      </x:c>
      <x:c r="G5" s="129" t="inlineStr">
        <x:is>
          <x:t xml:space="preserve">VB3</x:t>
        </x:is>
      </x:c>
      <x:c r="H5" s="129" t="inlineStr">
        <x:is>
          <x:t xml:space="preserve">Null</x:t>
        </x:is>
      </x:c>
      <x:c r="I5" s="129" t="inlineStr">
        <x:is>
          <x:t xml:space="preserve">IB3</x:t>
        </x:is>
      </x:c>
    </x:row>
    <x:row r="6" ht="42" customHeight="1">
      <x:c r="A6" s="130" t="inlineStr">
        <x:is>
          <x:t xml:space="preserve">service price</x:t>
        </x:is>
      </x:c>
      <x:c r="B6" s="129" t="inlineStr">
        <x:is>
          <x:t xml:space="preserve">&gt;=0</x:t>
        </x:is>
      </x:c>
      <x:c r="C6" s="129" t="inlineStr">
        <x:is>
          <x:t xml:space="preserve">VP4</x:t>
        </x:is>
      </x:c>
      <x:c r="D6" s="129" t="inlineStr">
        <x:is>
          <x:t xml:space="preserve">Âm/sai kiểu</x:t>
        </x:is>
      </x:c>
      <x:c r="E6" s="129" t="inlineStr">
        <x:is>
          <x:t xml:space="preserve">IP4</x:t>
        </x:is>
      </x:c>
      <x:c r="F6" s="129" t="inlineStr">
        <x:is>
          <x:t xml:space="preserve">0</x:t>
        </x:is>
      </x:c>
      <x:c r="G6" s="129" t="inlineStr">
        <x:is>
          <x:t xml:space="preserve">VB4</x:t>
        </x:is>
      </x:c>
      <x:c r="H6" s="129" t="inlineStr">
        <x:is>
          <x:t xml:space="preserve">-1</x:t>
        </x:is>
      </x:c>
      <x:c r="I6" s="129" t="inlineStr">
        <x:is>
          <x:t xml:space="preserve">IB4</x:t>
        </x:is>
      </x:c>
    </x:row>
    <x:row r="7" ht="42" customHeight="1">
      <x:c r="A7" s="130" t="inlineStr">
        <x:is>
          <x:t xml:space="preserve">dependency</x:t>
        </x:is>
      </x:c>
      <x:c r="B7" s="129" t="inlineStr">
        <x:is>
          <x:t xml:space="preserve">Không có dữ liệu phụ thuộc khi xóa</x:t>
        </x:is>
      </x:c>
      <x:c r="C7" s="129" t="inlineStr">
        <x:is>
          <x:t xml:space="preserve">VP5</x:t>
        </x:is>
      </x:c>
      <x:c r="D7" s="129" t="inlineStr">
        <x:is>
          <x:t xml:space="preserve">Đang được sử dụng</x:t>
        </x:is>
      </x:c>
      <x:c r="E7" s="129" t="inlineStr">
        <x:is>
          <x:t xml:space="preserve">IP5</x:t>
        </x:is>
      </x:c>
      <x:c r="F7" s="129" t="inlineStr">
        <x:is>
          <x:t xml:space="preserve">0 dependency</x:t>
        </x:is>
      </x:c>
      <x:c r="G7" s="129" t="inlineStr">
        <x:is>
          <x:t xml:space="preserve">VB5</x:t>
        </x:is>
      </x:c>
      <x:c r="H7" s="129" t="inlineStr">
        <x:is>
          <x:t xml:space="preserve">1 dependency</x:t>
        </x:is>
      </x:c>
      <x:c r="I7" s="129" t="inlineStr">
        <x:is>
          <x:t xml:space="preserve">IB5</x:t>
        </x:is>
      </x:c>
    </x:row>
    <x:row r="8" ht="42" customHeight="1">
      <x:c r="A8" s="130" t="inlineStr">
        <x:is>
          <x:t xml:space="preserve">capability mapping</x:t>
        </x:is>
      </x:c>
      <x:c r="B8" s="129" t="inlineStr">
        <x:is>
          <x:t xml:space="preserve">Service/department/staff tồn tại</x:t>
        </x:is>
      </x:c>
      <x:c r="C8" s="129" t="inlineStr">
        <x:is>
          <x:t xml:space="preserve">VP6</x:t>
        </x:is>
      </x:c>
      <x:c r="D8" s="129" t="inlineStr">
        <x:is>
          <x:t xml:space="preserve">Một đầu không tồn tại</x:t>
        </x:is>
      </x:c>
      <x:c r="E8" s="129" t="inlineStr">
        <x:is>
          <x:t xml:space="preserve">IP6</x:t>
        </x:is>
      </x:c>
      <x:c r="F8" s="129" t="inlineStr">
        <x:is>
          <x:t xml:space="preserve">1 mapping</x:t>
        </x:is>
      </x:c>
      <x:c r="G8" s="129" t="inlineStr">
        <x:is>
          <x:t xml:space="preserve">VB6</x:t>
        </x:is>
      </x:c>
      <x:c r="H8" s="129" t="inlineStr">
        <x:is>
          <x:t xml:space="preserve">0 mapping</x:t>
        </x:is>
      </x:c>
      <x:c r="I8" s="129" t="inlineStr">
        <x:is>
          <x:t xml:space="preserve">IB6</x:t>
        </x:is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inlineStr">
        <x:is>
          <x:t xml:space="preserve">* Notes:</x:t>
        </x:is>
      </x:c>
      <x:c r="B27" s="141" t="inlineStr">
        <x:is>
          <x:t xml:space="preserve">Đối chiếu tag VP/IP/VB/IB với Test Design.</x:t>
        </x:is>
      </x:c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inlineStr">
        <x:is>
          <x:t xml:space="preserve">Test case design</x:t>
        </x:is>
      </x:c>
      <x:c r="B1" s="172"/>
      <x:c r="C1" s="172"/>
      <x:c r="D1" s="172"/>
    </x:row>
    <x:row r="2" ht="25.5">
      <x:c r="A2" s="83" t="inlineStr">
        <x:is>
          <x:t xml:space="preserve">Test-case No</x:t>
        </x:is>
      </x:c>
      <x:c r="B2" s="83" t="inlineStr">
        <x:is>
          <x:t xml:space="preserve">Description</x:t>
        </x:is>
      </x:c>
      <x:c r="C2" s="83" t="inlineStr">
        <x:is>
          <x:t xml:space="preserve">Expected result</x:t>
        </x:is>
      </x:c>
      <x:c r="D2" s="83" t="inlineStr">
        <x:is>
          <x:t xml:space="preserve">TAG</x:t>
        </x:is>
      </x:c>
    </x:row>
    <x:row r="3" ht="82" customHeight="1">
      <x:c r="A3" s="152">
        <x:v>1</x:v>
      </x:c>
      <x:c r="B3" s="151" t="inlineStr">
        <x:is>
          <x:t xml:space="preserve">Tạo khoa/dịch vụ hợp lệ.</x:t>
        </x:is>
      </x:c>
      <x:c r="C3" s="151" t="inlineStr">
        <x:is>
          <x:t xml:space="preserve">201; dữ liệu active và unique.</x:t>
        </x:is>
      </x:c>
      <x:c r="D3" s="151" t="inlineStr">
        <x:is>
          <x:t xml:space="preserve">VP1,VP2,VP3,VP4</x:t>
        </x:is>
      </x:c>
    </x:row>
    <x:row r="4" ht="82" customHeight="1">
      <x:c r="A4" s="152">
        <x:v>2</x:v>
      </x:c>
      <x:c r="B4" s="151" t="inlineStr">
        <x:is>
          <x:t xml:space="preserve">Tạo code trùng.</x:t>
        </x:is>
      </x:c>
      <x:c r="C4" s="151" t="inlineStr">
        <x:is>
          <x:t xml:space="preserve">409; không duplicate.</x:t>
        </x:is>
      </x:c>
      <x:c r="D4" s="151" t="inlineStr">
        <x:is>
          <x:t xml:space="preserve">IP2</x:t>
        </x:is>
      </x:c>
    </x:row>
    <x:row r="5" ht="82" customHeight="1">
      <x:c r="A5" s="152">
        <x:v>3</x:v>
      </x:c>
      <x:c r="B5" s="151" t="inlineStr">
        <x:is>
          <x:t xml:space="preserve">Giá dịch vụ âm.</x:t>
        </x:is>
      </x:c>
      <x:c r="C5" s="151" t="inlineStr">
        <x:is>
          <x:t xml:space="preserve">400; không lưu.</x:t>
        </x:is>
      </x:c>
      <x:c r="D5" s="151" t="inlineStr">
        <x:is>
          <x:t xml:space="preserve">IP4,IB4</x:t>
        </x:is>
      </x:c>
    </x:row>
    <x:row r="6" ht="82" customHeight="1">
      <x:c r="A6" s="152">
        <x:v>4</x:v>
      </x:c>
      <x:c r="B6" s="151" t="inlineStr">
        <x:is>
          <x:t xml:space="preserve">Publish/deactivate dịch vụ.</x:t>
        </x:is>
      </x:c>
      <x:c r="C6" s="151" t="inlineStr">
        <x:is>
          <x:t xml:space="preserve">Status chuyển đúng.</x:t>
        </x:is>
      </x:c>
      <x:c r="D6" s="151" t="inlineStr">
        <x:is>
          <x:t xml:space="preserve">VP3</x:t>
        </x:is>
      </x:c>
    </x:row>
    <x:row r="7" ht="82" customHeight="1">
      <x:c r="A7" s="152">
        <x:v>5</x:v>
      </x:c>
      <x:c r="B7" s="151" t="inlineStr">
        <x:is>
          <x:t xml:space="preserve">Xóa danh mục đang được dùng.</x:t>
        </x:is>
      </x:c>
      <x:c r="C7" s="151" t="inlineStr">
        <x:is>
          <x:t xml:space="preserve">409/400; giữ dữ liệu.</x:t>
        </x:is>
      </x:c>
      <x:c r="D7" s="151" t="inlineStr">
        <x:is>
          <x:t xml:space="preserve">IP5,IB5</x:t>
        </x:is>
      </x:c>
    </x:row>
    <x:row r="8" ht="82" customHeight="1">
      <x:c r="A8" s="152">
        <x:v>6</x:v>
      </x:c>
      <x:c r="B8" s="151" t="inlineStr">
        <x:is>
          <x:t xml:space="preserve">Gán capability hợp lệ.</x:t>
        </x:is>
      </x:c>
      <x:c r="C8" s="151" t="inlineStr">
        <x:is>
          <x:t xml:space="preserve">Mapping được lưu và dùng khi chọn khoa.</x:t>
        </x:is>
      </x:c>
      <x:c r="D8" s="151" t="inlineStr">
        <x:is>
          <x:t xml:space="preserve">VP6</x:t>
        </x:is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inlineStr">
        <x:is>
          <x:t xml:space="preserve">IT13 - Quản trị danh mục hệ thống</x:t>
        </x:is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inlineStr">
        <x:is>
          <x:t xml:space="preserve">Department/Service/Category/Specialization/Staff/Capability.</x:t>
        </x:is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f>COUNTIF(A12:A1000,"IT*")</x:f>
        <x:v>0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inlineStr">
        <x:is>
          <x:t xml:space="preserve">Test Case ID</x:t>
        </x:is>
      </x:c>
      <x:c r="B10" s="83" t="inlineStr">
        <x:is>
          <x:t xml:space="preserve">Test Case Description</x:t>
        </x:is>
      </x:c>
      <x:c r="C10" s="83" t="inlineStr">
        <x:is>
          <x:t xml:space="preserve">Test Case Procedure</x:t>
        </x:is>
      </x:c>
      <x:c r="D10" s="83" t="inlineStr">
        <x:is>
          <x:t xml:space="preserve">Expected Results</x:t>
        </x:is>
      </x:c>
      <x:c r="E10" s="83" t="inlineStr">
        <x:is>
          <x:t xml:space="preserve">Pre-conditions</x:t>
        </x:is>
      </x:c>
      <x:c r="F10" s="83" t="inlineStr">
        <x:is>
          <x:t xml:space="preserve">Round 1</x:t>
        </x:is>
      </x:c>
      <x:c r="G10" s="83" t="inlineStr">
        <x:is>
          <x:t xml:space="preserve">Test date</x:t>
        </x:is>
      </x:c>
      <x:c r="H10" s="83" t="inlineStr">
        <x:is>
          <x:t xml:space="preserve">Tester</x:t>
        </x:is>
      </x:c>
      <x:c r="I10" s="83" t="inlineStr">
        <x:is>
          <x:t xml:space="preserve">Round 2</x:t>
        </x:is>
      </x:c>
      <x:c r="J10" s="83" t="inlineStr">
        <x:is>
          <x:t xml:space="preserve">Test date</x:t>
        </x:is>
      </x:c>
      <x:c r="K10" s="83" t="inlineStr">
        <x:is>
          <x:t xml:space="preserve">Tester</x:t>
        </x:is>
      </x:c>
      <x:c r="L10" s="83" t="inlineStr">
        <x:is>
          <x:t xml:space="preserve">Round 3</x:t>
        </x:is>
      </x:c>
      <x:c r="M10" s="83" t="inlineStr">
        <x:is>
          <x:t xml:space="preserve">Test date</x:t>
        </x:is>
      </x:c>
      <x:c r="N10" s="83" t="inlineStr">
        <x:is>
          <x:t xml:space="preserve">Tester</x:t>
        </x:is>
      </x:c>
      <x:c r="O10" s="83" t="inlineStr">
        <x:is>
          <x:t xml:space="preserve">Note</x:t>
        </x:is>
      </x:c>
      <x:c r="Q10" s="34"/>
    </x:row>
    <x:row r="11" s="30" customFormat="1" ht="18" customHeight="1">
      <x:c r="A11" s="79" t="inlineStr">
        <x:is>
          <x:t xml:space="preserve">Luồng hợp lệ</x:t>
        </x:is>
      </x:c>
      <x:c r="Q11" s="38"/>
    </x:row>
    <x:row r="12" s="44" customFormat="1" ht="105" customHeight="1">
      <x:c r="A12" s="39" t="inlineStr">
        <x:is>
          <x:t xml:space="preserve">IT13-001</x:t>
        </x:is>
      </x:c>
      <x:c r="B12" s="39" t="inlineStr">
        <x:is>
          <x:t xml:space="preserve">Tạo khoa/dịch vụ</x:t>
        </x:is>
      </x:c>
      <x:c r="C12" s="39" t="inlineStr">
        <x:is>
          <x:t xml:space="preserve">POST /departments và /medical-services hợp lệ.</x:t>
        </x:is>
      </x:c>
      <x:c r="D12" s="45" t="inlineStr">
        <x:is>
          <x:t xml:space="preserve">201; code unique, status đúng.</x:t>
        </x:is>
      </x:c>
      <x:c r="E12" s="39" t="inlineStr">
        <x:is>
          <x:t xml:space="preserve">ADMIN token.</x:t>
        </x:is>
      </x:c>
      <x:c r="F12" s="39" t="inlineStr">
        <x:is>
          <x:t xml:space="preserve">Pending</x:t>
        </x:is>
      </x:c>
      <x:c r="I12" s="39" t="inlineStr">
        <x:is>
          <x:t xml:space="preserve">Pending</x:t>
        </x:is>
      </x:c>
      <x:c r="L12" s="39" t="inlineStr">
        <x:is>
          <x:t xml:space="preserve">Pending</x:t>
        </x:is>
      </x:c>
      <x:c r="O12" s="39" t="inlineStr">
        <x:is>
          <x:t xml:space="preserve">VP1,VP2,VP3,VP4</x:t>
        </x:is>
      </x:c>
      <x:c r="Q12" s="43"/>
    </x:row>
    <x:row r="13" ht="105" customHeight="1">
      <x:c r="A13" s="39" t="inlineStr">
        <x:is>
          <x:t xml:space="preserve">IT13-002</x:t>
        </x:is>
      </x:c>
      <x:c r="B13" s="39" t="inlineStr">
        <x:is>
          <x:t xml:space="preserve">Code trùng</x:t>
        </x:is>
      </x:c>
      <x:c r="C13" s="39" t="inlineStr">
        <x:is>
          <x:t xml:space="preserve">POST entity có code đã tồn tại.</x:t>
        </x:is>
      </x:c>
      <x:c r="D13" s="45" t="inlineStr">
        <x:is>
          <x:t xml:space="preserve">409; không duplicate.</x:t>
        </x:is>
      </x:c>
      <x:c r="E13" s="39" t="inlineStr">
        <x:is>
          <x:t xml:space="preserve">Có entity cùng code.</x:t>
        </x:is>
      </x:c>
      <x:c r="F13" s="39" t="inlineStr">
        <x:is>
          <x:t xml:space="preserve">Pending</x:t>
        </x:is>
      </x:c>
      <x:c r="I13" s="39" t="inlineStr">
        <x:is>
          <x:t xml:space="preserve">Pending</x:t>
        </x:is>
      </x:c>
      <x:c r="L13" s="39" t="inlineStr">
        <x:is>
          <x:t xml:space="preserve">Pending</x:t>
        </x:is>
      </x:c>
      <x:c r="O13" s="39" t="inlineStr">
        <x:is>
          <x:t xml:space="preserve">IP2</x:t>
        </x:is>
      </x:c>
      <x:c r="Q13" s="43"/>
    </x:row>
    <x:row r="14" ht="18" customHeight="1">
      <x:c r="A14" s="79" t="inlineStr">
        <x:is>
          <x:t xml:space="preserve">Validation nghiệp vụ</x:t>
        </x:is>
      </x:c>
      <x:c r="Q14" s="43"/>
    </x:row>
    <x:row r="15" s="30" customFormat="1" ht="105" customHeight="1">
      <x:c r="A15" s="39" t="inlineStr">
        <x:is>
          <x:t xml:space="preserve">IT13-003</x:t>
        </x:is>
      </x:c>
      <x:c r="B15" s="39" t="inlineStr">
        <x:is>
          <x:t xml:space="preserve">Giá âm</x:t>
        </x:is>
      </x:c>
      <x:c r="C15" s="39" t="inlineStr">
        <x:is>
          <x:t xml:space="preserve">POST medical-service price=-1.</x:t>
        </x:is>
      </x:c>
      <x:c r="D15" s="45" t="inlineStr">
        <x:is>
          <x:t xml:space="preserve">400; không lưu.</x:t>
        </x:is>
      </x:c>
      <x:c r="E15" s="39" t="inlineStr">
        <x:is>
          <x:t xml:space="preserve">ADMIN token.</x:t>
        </x:is>
      </x:c>
      <x:c r="F15" s="39" t="inlineStr">
        <x:is>
          <x:t xml:space="preserve">Pending</x:t>
        </x:is>
      </x:c>
      <x:c r="I15" s="39" t="inlineStr">
        <x:is>
          <x:t xml:space="preserve">Pending</x:t>
        </x:is>
      </x:c>
      <x:c r="L15" s="39" t="inlineStr">
        <x:is>
          <x:t xml:space="preserve">Pending</x:t>
        </x:is>
      </x:c>
      <x:c r="O15" s="39" t="inlineStr">
        <x:is>
          <x:t xml:space="preserve">IP4,IB4</x:t>
        </x:is>
      </x:c>
      <x:c r="Q15" s="38"/>
    </x:row>
    <x:row r="16" ht="105" customHeight="1">
      <x:c r="A16" s="39" t="inlineStr">
        <x:is>
          <x:t xml:space="preserve">IT13-004</x:t>
        </x:is>
      </x:c>
      <x:c r="B16" s="39" t="inlineStr">
        <x:is>
          <x:t xml:space="preserve">Đổi trạng thái dịch vụ</x:t>
        </x:is>
      </x:c>
      <x:c r="C16" s="39" t="inlineStr">
        <x:is>
          <x:t xml:space="preserve">PATCH /medical-services/{id}/publish/deactivate.</x:t>
        </x:is>
      </x:c>
      <x:c r="D16" s="45" t="inlineStr">
        <x:is>
          <x:t xml:space="preserve">Status chuyển đúng và API available phản ánh.</x:t>
        </x:is>
      </x:c>
      <x:c r="E16" s="39" t="inlineStr">
        <x:is>
          <x:t xml:space="preserve">Service tồn tại.</x:t>
        </x:is>
      </x:c>
      <x:c r="F16" s="39" t="inlineStr">
        <x:is>
          <x:t xml:space="preserve">Pending</x:t>
        </x:is>
      </x:c>
      <x:c r="I16" s="39" t="inlineStr">
        <x:is>
          <x:t xml:space="preserve">Pending</x:t>
        </x:is>
      </x:c>
      <x:c r="L16" s="39" t="inlineStr">
        <x:is>
          <x:t xml:space="preserve">Pending</x:t>
        </x:is>
      </x:c>
      <x:c r="O16" s="39" t="inlineStr">
        <x:is>
          <x:t xml:space="preserve">VP3</x:t>
        </x:is>
      </x:c>
      <x:c r="Q16" s="43"/>
    </x:row>
    <x:row r="17" ht="18">
      <x:c r="A17" s="79" t="inlineStr">
        <x:is>
          <x:t xml:space="preserve">Quyền/trạng thái biên</x:t>
        </x:is>
      </x:c>
    </x:row>
    <x:row r="18" ht="105" customHeight="1">
      <x:c r="A18" s="39" t="inlineStr">
        <x:is>
          <x:t xml:space="preserve">IT13-005</x:t>
        </x:is>
      </x:c>
      <x:c r="B18" s="39" t="inlineStr">
        <x:is>
          <x:t xml:space="preserve">Xóa đang được dùng</x:t>
        </x:is>
      </x:c>
      <x:c r="C18" s="39" t="inlineStr">
        <x:is>
          <x:t xml:space="preserve">DELETE department/service có dependency.</x:t>
        </x:is>
      </x:c>
      <x:c r="D18" s="45" t="inlineStr">
        <x:is>
          <x:t xml:space="preserve">409/400; dữ liệu giữ nguyên.</x:t>
        </x:is>
      </x:c>
      <x:c r="E18" s="39" t="inlineStr">
        <x:is>
          <x:t xml:space="preserve">Có appointment/request liên kết.</x:t>
        </x:is>
      </x:c>
      <x:c r="F18" s="39" t="inlineStr">
        <x:is>
          <x:t xml:space="preserve">Pending</x:t>
        </x:is>
      </x:c>
      <x:c r="I18" s="39" t="inlineStr">
        <x:is>
          <x:t xml:space="preserve">Pending</x:t>
        </x:is>
      </x:c>
      <x:c r="L18" s="39" t="inlineStr">
        <x:is>
          <x:t xml:space="preserve">Pending</x:t>
        </x:is>
      </x:c>
      <x:c r="O18" s="39" t="inlineStr">
        <x:is>
          <x:t xml:space="preserve">IP5,IB5</x:t>
        </x:is>
      </x:c>
    </x:row>
    <x:row r="19" s="44" customFormat="1" ht="105" customHeight="1">
      <x:c r="A19" s="39" t="inlineStr">
        <x:is>
          <x:t xml:space="preserve">IT13-006</x:t>
        </x:is>
      </x:c>
      <x:c r="B19" s="39" t="inlineStr">
        <x:is>
          <x:t xml:space="preserve">Gán capability</x:t>
        </x:is>
      </x:c>
      <x:c r="C19" s="39" t="inlineStr">
        <x:is>
          <x:t xml:space="preserve">POST /service-capabilities và gán staff/khoa.</x:t>
        </x:is>
      </x:c>
      <x:c r="D19" s="45" t="inlineStr">
        <x:is>
          <x:t xml:space="preserve">Mapping lưu đúng, được chọn khi tạo request.</x:t>
        </x:is>
      </x:c>
      <x:c r="E19" s="39" t="inlineStr">
        <x:is>
          <x:t xml:space="preserve">Các entity tồn tại.</x:t>
        </x:is>
      </x:c>
      <x:c r="F19" s="39" t="inlineStr">
        <x:is>
          <x:t xml:space="preserve">Pending</x:t>
        </x:is>
      </x:c>
      <x:c r="I19" s="39" t="inlineStr">
        <x:is>
          <x:t xml:space="preserve">Pending</x:t>
        </x:is>
      </x:c>
      <x:c r="L19" s="39" t="inlineStr">
        <x:is>
          <x:t xml:space="preserve">Pending</x:t>
        </x:is>
      </x:c>
      <x:c r="O19" s="39" t="inlineStr">
        <x:is>
          <x:t xml:space="preserve">VP6</x:t>
        </x:is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a8345978c6ed4877"/>
</x:worksheet>
</file>

<file path=xl/worksheets/sheet44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inlineStr">
        <x:is>
          <x:t xml:space="preserve">Test Condition Analysis</x:t>
        </x:is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inlineStr">
        <x:is>
          <x:t xml:space="preserve">Condition</x:t>
        </x:is>
      </x:c>
      <x:c r="B2" s="83" t="inlineStr">
        <x:is>
          <x:t xml:space="preserve">Valid Partitions</x:t>
        </x:is>
      </x:c>
      <x:c r="C2" s="83" t="inlineStr">
        <x:is>
          <x:t xml:space="preserve">Tag</x:t>
        </x:is>
      </x:c>
      <x:c r="D2" s="83" t="inlineStr">
        <x:is>
          <x:t xml:space="preserve">Invalid Partitions</x:t>
        </x:is>
      </x:c>
      <x:c r="E2" s="83" t="inlineStr">
        <x:is>
          <x:t xml:space="preserve">Tag</x:t>
        </x:is>
      </x:c>
      <x:c r="F2" s="83" t="inlineStr">
        <x:is>
          <x:t xml:space="preserve">Valid Boundaries</x:t>
        </x:is>
      </x:c>
      <x:c r="G2" s="83" t="inlineStr">
        <x:is>
          <x:t xml:space="preserve">Tag</x:t>
        </x:is>
      </x:c>
      <x:c r="H2" s="83" t="inlineStr">
        <x:is>
          <x:t xml:space="preserve">Invalid Boundaries</x:t>
        </x:is>
      </x:c>
      <x:c r="I2" s="83" t="inlineStr">
        <x:is>
          <x:t xml:space="preserve">Tag</x:t>
        </x:is>
      </x:c>
    </x:row>
    <x:row r="3" ht="42" customHeight="1">
      <x:c r="A3" s="130" t="inlineStr">
        <x:is>
          <x:t xml:space="preserve">recipient</x:t>
        </x:is>
      </x:c>
      <x:c r="B3" s="129" t="inlineStr">
        <x:is>
          <x:t xml:space="preserve">Account/Profile tồn tại</x:t>
        </x:is>
      </x:c>
      <x:c r="C3" s="129" t="inlineStr">
        <x:is>
          <x:t xml:space="preserve">VP1</x:t>
        </x:is>
      </x:c>
      <x:c r="D3" s="129" t="inlineStr">
        <x:is>
          <x:t xml:space="preserve">Không tồn tại</x:t>
        </x:is>
      </x:c>
      <x:c r="E3" s="129" t="inlineStr">
        <x:is>
          <x:t xml:space="preserve">IP1</x:t>
        </x:is>
      </x:c>
      <x:c r="F3" s="129" t="inlineStr">
        <x:is>
          <x:t xml:space="preserve">N/A</x:t>
        </x:is>
      </x:c>
      <x:c r="G3" s="129" t="inlineStr">
        <x:is>
          <x:t xml:space="preserve">VB1</x:t>
        </x:is>
      </x:c>
      <x:c r="H3" s="129" t="inlineStr">
        <x:is>
          <x:t xml:space="preserve">Null</x:t>
        </x:is>
      </x:c>
      <x:c r="I3" s="129" t="inlineStr">
        <x:is>
          <x:t xml:space="preserve">IB1</x:t>
        </x:is>
      </x:c>
    </x:row>
    <x:row r="4" ht="42" customHeight="1">
      <x:c r="A4" s="130" t="inlineStr">
        <x:is>
          <x:t xml:space="preserve">channel</x:t>
        </x:is>
      </x:c>
      <x:c r="B4" s="129" t="inlineStr">
        <x:is>
          <x:t xml:space="preserve">Enum hợp lệ</x:t>
        </x:is>
      </x:c>
      <x:c r="C4" s="129" t="inlineStr">
        <x:is>
          <x:t xml:space="preserve">VP2</x:t>
        </x:is>
      </x:c>
      <x:c r="D4" s="129" t="inlineStr">
        <x:is>
          <x:t xml:space="preserve">Ngoài enum</x:t>
        </x:is>
      </x:c>
      <x:c r="E4" s="129" t="inlineStr">
        <x:is>
          <x:t xml:space="preserve">IP2</x:t>
        </x:is>
      </x:c>
      <x:c r="F4" s="129" t="inlineStr">
        <x:is>
          <x:t xml:space="preserve">N/A</x:t>
        </x:is>
      </x:c>
      <x:c r="G4" s="129" t="inlineStr">
        <x:is>
          <x:t xml:space="preserve">VB2</x:t>
        </x:is>
      </x:c>
      <x:c r="H4" s="129" t="inlineStr">
        <x:is>
          <x:t xml:space="preserve">Null</x:t>
        </x:is>
      </x:c>
      <x:c r="I4" s="129" t="inlineStr">
        <x:is>
          <x:t xml:space="preserve">IB2</x:t>
        </x:is>
      </x:c>
    </x:row>
    <x:row r="5" ht="42" customHeight="1">
      <x:c r="A5" s="130" t="inlineStr">
        <x:is>
          <x:t xml:space="preserve">notification status</x:t>
        </x:is>
      </x:c>
      <x:c r="B5" s="129" t="inlineStr">
        <x:is>
          <x:t xml:space="preserve">PENDING/SENT/READ</x:t>
        </x:is>
      </x:c>
      <x:c r="C5" s="129" t="inlineStr">
        <x:is>
          <x:t xml:space="preserve">VP3</x:t>
        </x:is>
      </x:c>
      <x:c r="D5" s="129" t="inlineStr">
        <x:is>
          <x:t xml:space="preserve">Chuyển trạng thái sai</x:t>
        </x:is>
      </x:c>
      <x:c r="E5" s="129" t="inlineStr">
        <x:is>
          <x:t xml:space="preserve">IP3</x:t>
        </x:is>
      </x:c>
      <x:c r="F5" s="129" t="inlineStr">
        <x:is>
          <x:t xml:space="preserve">N/A</x:t>
        </x:is>
      </x:c>
      <x:c r="G5" s="129" t="inlineStr">
        <x:is>
          <x:t xml:space="preserve">VB3</x:t>
        </x:is>
      </x:c>
      <x:c r="H5" s="129" t="inlineStr">
        <x:is>
          <x:t xml:space="preserve">N/A</x:t>
        </x:is>
      </x:c>
      <x:c r="I5" s="129" t="inlineStr">
        <x:is>
          <x:t xml:space="preserve">IB3</x:t>
        </x:is>
      </x:c>
    </x:row>
    <x:row r="6" ht="42" customHeight="1">
      <x:c r="A6" s="130" t="inlineStr">
        <x:is>
          <x:t xml:space="preserve">chat session</x:t>
        </x:is>
      </x:c>
      <x:c r="B6" s="129" t="inlineStr">
        <x:is>
          <x:t xml:space="preserve">ACTIVE</x:t>
        </x:is>
      </x:c>
      <x:c r="C6" s="129" t="inlineStr">
        <x:is>
          <x:t xml:space="preserve">VP4</x:t>
        </x:is>
      </x:c>
      <x:c r="D6" s="129" t="inlineStr">
        <x:is>
          <x:t xml:space="preserve">CLOSED/không tồn tại</x:t>
        </x:is>
      </x:c>
      <x:c r="E6" s="129" t="inlineStr">
        <x:is>
          <x:t xml:space="preserve">IP4</x:t>
        </x:is>
      </x:c>
      <x:c r="F6" s="129" t="inlineStr">
        <x:is>
          <x:t xml:space="preserve">N/A</x:t>
        </x:is>
      </x:c>
      <x:c r="G6" s="129" t="inlineStr">
        <x:is>
          <x:t xml:space="preserve">VB4</x:t>
        </x:is>
      </x:c>
      <x:c r="H6" s="129" t="inlineStr">
        <x:is>
          <x:t xml:space="preserve">Null</x:t>
        </x:is>
      </x:c>
      <x:c r="I6" s="129" t="inlineStr">
        <x:is>
          <x:t xml:space="preserve">IB4</x:t>
        </x:is>
      </x:c>
    </x:row>
    <x:row r="7" ht="42" customHeight="1">
      <x:c r="A7" s="130" t="inlineStr">
        <x:is>
          <x:t xml:space="preserve">sender role</x:t>
        </x:is>
      </x:c>
      <x:c r="B7" s="129" t="inlineStr">
        <x:is>
          <x:t xml:space="preserve">Customer/guest/receptionist đúng endpoint</x:t>
        </x:is>
      </x:c>
      <x:c r="C7" s="129" t="inlineStr">
        <x:is>
          <x:t xml:space="preserve">VP5</x:t>
        </x:is>
      </x:c>
      <x:c r="D7" s="129" t="inlineStr">
        <x:is>
          <x:t xml:space="preserve">Giả mạo role</x:t>
        </x:is>
      </x:c>
      <x:c r="E7" s="129" t="inlineStr">
        <x:is>
          <x:t xml:space="preserve">IP5</x:t>
        </x:is>
      </x:c>
      <x:c r="F7" s="129" t="inlineStr">
        <x:is>
          <x:t xml:space="preserve">N/A</x:t>
        </x:is>
      </x:c>
      <x:c r="G7" s="129" t="inlineStr">
        <x:is>
          <x:t xml:space="preserve">VB5</x:t>
        </x:is>
      </x:c>
      <x:c r="H7" s="129" t="inlineStr">
        <x:is>
          <x:t xml:space="preserve">Null</x:t>
        </x:is>
      </x:c>
      <x:c r="I7" s="129" t="inlineStr">
        <x:is>
          <x:t xml:space="preserve">IB5</x:t>
        </x:is>
      </x:c>
    </x:row>
    <x:row r="8" ht="42" customHeight="1">
      <x:c r="A8" s="130" t="inlineStr">
        <x:is>
          <x:t xml:space="preserve">message</x:t>
        </x:is>
      </x:c>
      <x:c r="B8" s="129" t="inlineStr">
        <x:is>
          <x:t xml:space="preserve">Không rỗng, trong giới hạn</x:t>
        </x:is>
      </x:c>
      <x:c r="C8" s="129" t="inlineStr">
        <x:is>
          <x:t xml:space="preserve">VP6</x:t>
        </x:is>
      </x:c>
      <x:c r="D8" s="129" t="inlineStr">
        <x:is>
          <x:t xml:space="preserve">Rỗng/quá dài</x:t>
        </x:is>
      </x:c>
      <x:c r="E8" s="129" t="inlineStr">
        <x:is>
          <x:t xml:space="preserve">IP6</x:t>
        </x:is>
      </x:c>
      <x:c r="F8" s="129" t="inlineStr">
        <x:is>
          <x:t xml:space="preserve">1 ký tự</x:t>
        </x:is>
      </x:c>
      <x:c r="G8" s="129" t="inlineStr">
        <x:is>
          <x:t xml:space="preserve">VB6</x:t>
        </x:is>
      </x:c>
      <x:c r="H8" s="129" t="inlineStr">
        <x:is>
          <x:t xml:space="preserve">0 ký tự</x:t>
        </x:is>
      </x:c>
      <x:c r="I8" s="129" t="inlineStr">
        <x:is>
          <x:t xml:space="preserve">IB6</x:t>
        </x:is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inlineStr">
        <x:is>
          <x:t xml:space="preserve">* Notes:</x:t>
        </x:is>
      </x:c>
      <x:c r="B27" s="141" t="inlineStr">
        <x:is>
          <x:t xml:space="preserve">Đối chiếu tag VP/IP/VB/IB với Test Design.</x:t>
        </x:is>
      </x:c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inlineStr">
        <x:is>
          <x:t xml:space="preserve">Test case design</x:t>
        </x:is>
      </x:c>
      <x:c r="B1" s="172"/>
      <x:c r="C1" s="172"/>
      <x:c r="D1" s="172"/>
    </x:row>
    <x:row r="2" ht="25.5">
      <x:c r="A2" s="83" t="inlineStr">
        <x:is>
          <x:t xml:space="preserve">Test-case No</x:t>
        </x:is>
      </x:c>
      <x:c r="B2" s="83" t="inlineStr">
        <x:is>
          <x:t xml:space="preserve">Description</x:t>
        </x:is>
      </x:c>
      <x:c r="C2" s="83" t="inlineStr">
        <x:is>
          <x:t xml:space="preserve">Expected result</x:t>
        </x:is>
      </x:c>
      <x:c r="D2" s="83" t="inlineStr">
        <x:is>
          <x:t xml:space="preserve">TAG</x:t>
        </x:is>
      </x:c>
    </x:row>
    <x:row r="3" ht="82" customHeight="1">
      <x:c r="A3" s="152">
        <x:v>1</x:v>
      </x:c>
      <x:c r="B3" s="151" t="inlineStr">
        <x:is>
          <x:t xml:space="preserve">Tạo và gửi notification.</x:t>
        </x:is>
      </x:c>
      <x:c r="C3" s="151" t="inlineStr">
        <x:is>
          <x:t xml:space="preserve">Status SENT, đúng recipient/channel.</x:t>
        </x:is>
      </x:c>
      <x:c r="D3" s="151" t="inlineStr">
        <x:is>
          <x:t xml:space="preserve">VP1,VP2,VP3</x:t>
        </x:is>
      </x:c>
    </x:row>
    <x:row r="4" ht="82" customHeight="1">
      <x:c r="A4" s="152">
        <x:v>2</x:v>
      </x:c>
      <x:c r="B4" s="151" t="inlineStr">
        <x:is>
          <x:t xml:space="preserve">Đánh dấu đã đọc.</x:t>
        </x:is>
      </x:c>
      <x:c r="C4" s="151" t="inlineStr">
        <x:is>
          <x:t xml:space="preserve">READ; unread-count giảm.</x:t>
        </x:is>
      </x:c>
      <x:c r="D4" s="151" t="inlineStr">
        <x:is>
          <x:t xml:space="preserve">VP3</x:t>
        </x:is>
      </x:c>
    </x:row>
    <x:row r="5" ht="82" customHeight="1">
      <x:c r="A5" s="152">
        <x:v>3</x:v>
      </x:c>
      <x:c r="B5" s="151" t="inlineStr">
        <x:is>
          <x:t xml:space="preserve">Tạo chat session.</x:t>
        </x:is>
      </x:c>
      <x:c r="C5" s="151" t="inlineStr">
        <x:is>
          <x:t xml:space="preserve">ACTIVE; gắn customer/guest.</x:t>
        </x:is>
      </x:c>
      <x:c r="D5" s="151" t="inlineStr">
        <x:is>
          <x:t xml:space="preserve">VP4</x:t>
        </x:is>
      </x:c>
    </x:row>
    <x:row r="6" ht="82" customHeight="1">
      <x:c r="A6" s="152">
        <x:v>4</x:v>
      </x:c>
      <x:c r="B6" s="151" t="inlineStr">
        <x:is>
          <x:t xml:space="preserve">Gửi message đúng role.</x:t>
        </x:is>
      </x:c>
      <x:c r="C6" s="151" t="inlineStr">
        <x:is>
          <x:t xml:space="preserve">Message lưu và phát WebSocket.</x:t>
        </x:is>
      </x:c>
      <x:c r="D6" s="151" t="inlineStr">
        <x:is>
          <x:t xml:space="preserve">VP5,VP6</x:t>
        </x:is>
      </x:c>
    </x:row>
    <x:row r="7" ht="82" customHeight="1">
      <x:c r="A7" s="152">
        <x:v>5</x:v>
      </x:c>
      <x:c r="B7" s="151" t="inlineStr">
        <x:is>
          <x:t xml:space="preserve">Gửi vào session CLOSED.</x:t>
        </x:is>
      </x:c>
      <x:c r="C7" s="151" t="inlineStr">
        <x:is>
          <x:t xml:space="preserve">409/400; không lưu.</x:t>
        </x:is>
      </x:c>
      <x:c r="D7" s="151" t="inlineStr">
        <x:is>
          <x:t xml:space="preserve">IP4</x:t>
        </x:is>
      </x:c>
    </x:row>
    <x:row r="8" ht="82" customHeight="1">
      <x:c r="A8" s="152">
        <x:v>6</x:v>
      </x:c>
      <x:c r="B8" s="151" t="inlineStr">
        <x:is>
          <x:t xml:space="preserve">Message rỗng.</x:t>
        </x:is>
      </x:c>
      <x:c r="C8" s="151" t="inlineStr">
        <x:is>
          <x:t xml:space="preserve">400 validation.</x:t>
        </x:is>
      </x:c>
      <x:c r="D8" s="151" t="inlineStr">
        <x:is>
          <x:t xml:space="preserve">IP6,IB6</x:t>
        </x:is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inlineStr">
        <x:is>
          <x:t xml:space="preserve">IT14 - Thông báo và hỗ trợ chat</x:t>
        </x:is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inlineStr">
        <x:is>
          <x:t xml:space="preserve">Account/Profile -&gt; Notification -&gt; ChatSession/WebSocket.</x:t>
        </x:is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f>COUNTIF(A12:A1000,"IT*")</x:f>
        <x:v>0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inlineStr">
        <x:is>
          <x:t xml:space="preserve">Test Case ID</x:t>
        </x:is>
      </x:c>
      <x:c r="B10" s="83" t="inlineStr">
        <x:is>
          <x:t xml:space="preserve">Test Case Description</x:t>
        </x:is>
      </x:c>
      <x:c r="C10" s="83" t="inlineStr">
        <x:is>
          <x:t xml:space="preserve">Test Case Procedure</x:t>
        </x:is>
      </x:c>
      <x:c r="D10" s="83" t="inlineStr">
        <x:is>
          <x:t xml:space="preserve">Expected Results</x:t>
        </x:is>
      </x:c>
      <x:c r="E10" s="83" t="inlineStr">
        <x:is>
          <x:t xml:space="preserve">Pre-conditions</x:t>
        </x:is>
      </x:c>
      <x:c r="F10" s="83" t="inlineStr">
        <x:is>
          <x:t xml:space="preserve">Round 1</x:t>
        </x:is>
      </x:c>
      <x:c r="G10" s="83" t="inlineStr">
        <x:is>
          <x:t xml:space="preserve">Test date</x:t>
        </x:is>
      </x:c>
      <x:c r="H10" s="83" t="inlineStr">
        <x:is>
          <x:t xml:space="preserve">Tester</x:t>
        </x:is>
      </x:c>
      <x:c r="I10" s="83" t="inlineStr">
        <x:is>
          <x:t xml:space="preserve">Round 2</x:t>
        </x:is>
      </x:c>
      <x:c r="J10" s="83" t="inlineStr">
        <x:is>
          <x:t xml:space="preserve">Test date</x:t>
        </x:is>
      </x:c>
      <x:c r="K10" s="83" t="inlineStr">
        <x:is>
          <x:t xml:space="preserve">Tester</x:t>
        </x:is>
      </x:c>
      <x:c r="L10" s="83" t="inlineStr">
        <x:is>
          <x:t xml:space="preserve">Round 3</x:t>
        </x:is>
      </x:c>
      <x:c r="M10" s="83" t="inlineStr">
        <x:is>
          <x:t xml:space="preserve">Test date</x:t>
        </x:is>
      </x:c>
      <x:c r="N10" s="83" t="inlineStr">
        <x:is>
          <x:t xml:space="preserve">Tester</x:t>
        </x:is>
      </x:c>
      <x:c r="O10" s="83" t="inlineStr">
        <x:is>
          <x:t xml:space="preserve">Note</x:t>
        </x:is>
      </x:c>
      <x:c r="Q10" s="34"/>
    </x:row>
    <x:row r="11" s="30" customFormat="1" ht="18" customHeight="1">
      <x:c r="A11" s="79" t="inlineStr">
        <x:is>
          <x:t xml:space="preserve">Luồng hợp lệ</x:t>
        </x:is>
      </x:c>
      <x:c r="Q11" s="38"/>
    </x:row>
    <x:row r="12" s="44" customFormat="1" ht="105" customHeight="1">
      <x:c r="A12" s="39" t="inlineStr">
        <x:is>
          <x:t xml:space="preserve">IT14-001</x:t>
        </x:is>
      </x:c>
      <x:c r="B12" s="39" t="inlineStr">
        <x:is>
          <x:t xml:space="preserve">Gửi thông báo</x:t>
        </x:is>
      </x:c>
      <x:c r="C12" s="39" t="inlineStr">
        <x:is>
          <x:t xml:space="preserve">POST /notifications rồi /{id}/send.</x:t>
        </x:is>
      </x:c>
      <x:c r="D12" s="45" t="inlineStr">
        <x:is>
          <x:t xml:space="preserve">Notification SENT đúng recipient/channel.</x:t>
        </x:is>
      </x:c>
      <x:c r="E12" s="39" t="inlineStr">
        <x:is>
          <x:t xml:space="preserve">Recipient tồn tại.</x:t>
        </x:is>
      </x:c>
      <x:c r="F12" s="39" t="inlineStr">
        <x:is>
          <x:t xml:space="preserve">Pending</x:t>
        </x:is>
      </x:c>
      <x:c r="I12" s="39" t="inlineStr">
        <x:is>
          <x:t xml:space="preserve">Pending</x:t>
        </x:is>
      </x:c>
      <x:c r="L12" s="39" t="inlineStr">
        <x:is>
          <x:t xml:space="preserve">Pending</x:t>
        </x:is>
      </x:c>
      <x:c r="O12" s="39" t="inlineStr">
        <x:is>
          <x:t xml:space="preserve">VP1,VP2,VP3</x:t>
        </x:is>
      </x:c>
      <x:c r="Q12" s="43"/>
    </x:row>
    <x:row r="13" ht="105" customHeight="1">
      <x:c r="A13" s="39" t="inlineStr">
        <x:is>
          <x:t xml:space="preserve">IT14-002</x:t>
        </x:is>
      </x:c>
      <x:c r="B13" s="39" t="inlineStr">
        <x:is>
          <x:t xml:space="preserve">Đọc thông báo</x:t>
        </x:is>
      </x:c>
      <x:c r="C13" s="39" t="inlineStr">
        <x:is>
          <x:t xml:space="preserve">POST /notifications/{id}/mark-read.</x:t>
        </x:is>
      </x:c>
      <x:c r="D13" s="45" t="inlineStr">
        <x:is>
          <x:t xml:space="preserve">Status READ; unread-count giảm 1.</x:t>
        </x:is>
      </x:c>
      <x:c r="E13" s="39" t="inlineStr">
        <x:is>
          <x:t xml:space="preserve">Notification SENT.</x:t>
        </x:is>
      </x:c>
      <x:c r="F13" s="39" t="inlineStr">
        <x:is>
          <x:t xml:space="preserve">Pending</x:t>
        </x:is>
      </x:c>
      <x:c r="I13" s="39" t="inlineStr">
        <x:is>
          <x:t xml:space="preserve">Pending</x:t>
        </x:is>
      </x:c>
      <x:c r="L13" s="39" t="inlineStr">
        <x:is>
          <x:t xml:space="preserve">Pending</x:t>
        </x:is>
      </x:c>
      <x:c r="O13" s="39" t="inlineStr">
        <x:is>
          <x:t xml:space="preserve">VP3</x:t>
        </x:is>
      </x:c>
      <x:c r="Q13" s="43"/>
    </x:row>
    <x:row r="14" ht="18" customHeight="1">
      <x:c r="A14" s="79" t="inlineStr">
        <x:is>
          <x:t xml:space="preserve">Validation nghiệp vụ</x:t>
        </x:is>
      </x:c>
      <x:c r="Q14" s="43"/>
    </x:row>
    <x:row r="15" s="30" customFormat="1" ht="105" customHeight="1">
      <x:c r="A15" s="39" t="inlineStr">
        <x:is>
          <x:t xml:space="preserve">IT14-003</x:t>
        </x:is>
      </x:c>
      <x:c r="B15" s="39" t="inlineStr">
        <x:is>
          <x:t xml:space="preserve">Mở phiên chat</x:t>
        </x:is>
      </x:c>
      <x:c r="C15" s="39" t="inlineStr">
        <x:is>
          <x:t xml:space="preserve">POST /api/v1/chat/session.</x:t>
        </x:is>
      </x:c>
      <x:c r="D15" s="45" t="inlineStr">
        <x:is>
          <x:t xml:space="preserve">ChatSession ACTIVE gắn customer.</x:t>
        </x:is>
      </x:c>
      <x:c r="E15" s="39" t="inlineStr">
        <x:is>
          <x:t xml:space="preserve">Customer authenticated.</x:t>
        </x:is>
      </x:c>
      <x:c r="F15" s="39" t="inlineStr">
        <x:is>
          <x:t xml:space="preserve">Pending</x:t>
        </x:is>
      </x:c>
      <x:c r="I15" s="39" t="inlineStr">
        <x:is>
          <x:t xml:space="preserve">Pending</x:t>
        </x:is>
      </x:c>
      <x:c r="L15" s="39" t="inlineStr">
        <x:is>
          <x:t xml:space="preserve">Pending</x:t>
        </x:is>
      </x:c>
      <x:c r="O15" s="39" t="inlineStr">
        <x:is>
          <x:t xml:space="preserve">VP4</x:t>
        </x:is>
      </x:c>
      <x:c r="Q15" s="38"/>
    </x:row>
    <x:row r="16" ht="105" customHeight="1">
      <x:c r="A16" s="39" t="inlineStr">
        <x:is>
          <x:t xml:space="preserve">IT14-004</x:t>
        </x:is>
      </x:c>
      <x:c r="B16" s="39" t="inlineStr">
        <x:is>
          <x:t xml:space="preserve">Gửi tin nhắn</x:t>
        </x:is>
      </x:c>
      <x:c r="C16" s="39" t="inlineStr">
        <x:is>
          <x:t xml:space="preserve">POST /chat/{sessionId}/messages/customer.</x:t>
        </x:is>
      </x:c>
      <x:c r="D16" s="45" t="inlineStr">
        <x:is>
          <x:t xml:space="preserve">Message lưu và broadcast.</x:t>
        </x:is>
      </x:c>
      <x:c r="E16" s="39" t="inlineStr">
        <x:is>
          <x:t xml:space="preserve">Session ACTIVE.</x:t>
        </x:is>
      </x:c>
      <x:c r="F16" s="39" t="inlineStr">
        <x:is>
          <x:t xml:space="preserve">Pending</x:t>
        </x:is>
      </x:c>
      <x:c r="I16" s="39" t="inlineStr">
        <x:is>
          <x:t xml:space="preserve">Pending</x:t>
        </x:is>
      </x:c>
      <x:c r="L16" s="39" t="inlineStr">
        <x:is>
          <x:t xml:space="preserve">Pending</x:t>
        </x:is>
      </x:c>
      <x:c r="O16" s="39" t="inlineStr">
        <x:is>
          <x:t xml:space="preserve">VP5,VP6</x:t>
        </x:is>
      </x:c>
      <x:c r="Q16" s="43"/>
    </x:row>
    <x:row r="17" ht="18">
      <x:c r="A17" s="79" t="inlineStr">
        <x:is>
          <x:t xml:space="preserve">Quyền/trạng thái biên</x:t>
        </x:is>
      </x:c>
    </x:row>
    <x:row r="18" ht="105" customHeight="1">
      <x:c r="A18" s="39" t="inlineStr">
        <x:is>
          <x:t xml:space="preserve">IT14-005</x:t>
        </x:is>
      </x:c>
      <x:c r="B18" s="39" t="inlineStr">
        <x:is>
          <x:t xml:space="preserve">Phiên đã đóng</x:t>
        </x:is>
      </x:c>
      <x:c r="C18" s="39" t="inlineStr">
        <x:is>
          <x:t xml:space="preserve">Gửi message vào session CLOSED.</x:t>
        </x:is>
      </x:c>
      <x:c r="D18" s="45" t="inlineStr">
        <x:is>
          <x:t xml:space="preserve">409/400; không lưu message.</x:t>
        </x:is>
      </x:c>
      <x:c r="E18" s="39" t="inlineStr">
        <x:is>
          <x:t xml:space="preserve">Session CLOSED.</x:t>
        </x:is>
      </x:c>
      <x:c r="F18" s="39" t="inlineStr">
        <x:is>
          <x:t xml:space="preserve">Pending</x:t>
        </x:is>
      </x:c>
      <x:c r="I18" s="39" t="inlineStr">
        <x:is>
          <x:t xml:space="preserve">Pending</x:t>
        </x:is>
      </x:c>
      <x:c r="L18" s="39" t="inlineStr">
        <x:is>
          <x:t xml:space="preserve">Pending</x:t>
        </x:is>
      </x:c>
      <x:c r="O18" s="39" t="inlineStr">
        <x:is>
          <x:t xml:space="preserve">IP4</x:t>
        </x:is>
      </x:c>
    </x:row>
    <x:row r="19" s="44" customFormat="1" ht="105" customHeight="1">
      <x:c r="A19" s="39" t="inlineStr">
        <x:is>
          <x:t xml:space="preserve">IT14-006</x:t>
        </x:is>
      </x:c>
      <x:c r="B19" s="39" t="inlineStr">
        <x:is>
          <x:t xml:space="preserve">Tin nhắn rỗng</x:t>
        </x:is>
      </x:c>
      <x:c r="C19" s="39" t="inlineStr">
        <x:is>
          <x:t xml:space="preserve">POST message rỗng.</x:t>
        </x:is>
      </x:c>
      <x:c r="D19" s="45" t="inlineStr">
        <x:is>
          <x:t xml:space="preserve">400; không tạo message.</x:t>
        </x:is>
      </x:c>
      <x:c r="E19" s="39" t="inlineStr">
        <x:is>
          <x:t xml:space="preserve">Session ACTIVE.</x:t>
        </x:is>
      </x:c>
      <x:c r="F19" s="39" t="inlineStr">
        <x:is>
          <x:t xml:space="preserve">Pending</x:t>
        </x:is>
      </x:c>
      <x:c r="I19" s="39" t="inlineStr">
        <x:is>
          <x:t xml:space="preserve">Pending</x:t>
        </x:is>
      </x:c>
      <x:c r="L19" s="39" t="inlineStr">
        <x:is>
          <x:t xml:space="preserve">Pending</x:t>
        </x:is>
      </x:c>
      <x:c r="O19" s="39" t="inlineStr">
        <x:is>
          <x:t xml:space="preserve">IP6,IB6</x:t>
        </x:is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fb593a615ff84184"/>
</x:worksheet>
</file>

<file path=xl/worksheets/sheet47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inlineStr">
        <x:is>
          <x:t xml:space="preserve">Test Condition Analysis</x:t>
        </x:is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inlineStr">
        <x:is>
          <x:t xml:space="preserve">Condition</x:t>
        </x:is>
      </x:c>
      <x:c r="B2" s="83" t="inlineStr">
        <x:is>
          <x:t xml:space="preserve">Valid Partitions</x:t>
        </x:is>
      </x:c>
      <x:c r="C2" s="83" t="inlineStr">
        <x:is>
          <x:t xml:space="preserve">Tag</x:t>
        </x:is>
      </x:c>
      <x:c r="D2" s="83" t="inlineStr">
        <x:is>
          <x:t xml:space="preserve">Invalid Partitions</x:t>
        </x:is>
      </x:c>
      <x:c r="E2" s="83" t="inlineStr">
        <x:is>
          <x:t xml:space="preserve">Tag</x:t>
        </x:is>
      </x:c>
      <x:c r="F2" s="83" t="inlineStr">
        <x:is>
          <x:t xml:space="preserve">Valid Boundaries</x:t>
        </x:is>
      </x:c>
      <x:c r="G2" s="83" t="inlineStr">
        <x:is>
          <x:t xml:space="preserve">Tag</x:t>
        </x:is>
      </x:c>
      <x:c r="H2" s="83" t="inlineStr">
        <x:is>
          <x:t xml:space="preserve">Invalid Boundaries</x:t>
        </x:is>
      </x:c>
      <x:c r="I2" s="83" t="inlineStr">
        <x:is>
          <x:t xml:space="preserve">Tag</x:t>
        </x:is>
      </x:c>
    </x:row>
    <x:row r="3" ht="42" customHeight="1">
      <x:c r="A3" s="130" t="inlineStr">
        <x:is>
          <x:t xml:space="preserve">visit</x:t>
        </x:is>
      </x:c>
      <x:c r="B3" s="129" t="inlineStr">
        <x:is>
          <x:t xml:space="preserve">Tồn tại và thuộc customer</x:t>
        </x:is>
      </x:c>
      <x:c r="C3" s="129" t="inlineStr">
        <x:is>
          <x:t xml:space="preserve">VP1</x:t>
        </x:is>
      </x:c>
      <x:c r="D3" s="129" t="inlineStr">
        <x:is>
          <x:t xml:space="preserve">Không tồn tại/sai chủ</x:t>
        </x:is>
      </x:c>
      <x:c r="E3" s="129" t="inlineStr">
        <x:is>
          <x:t xml:space="preserve">IP1</x:t>
        </x:is>
      </x:c>
      <x:c r="F3" s="129" t="inlineStr">
        <x:is>
          <x:t xml:space="preserve">N/A</x:t>
        </x:is>
      </x:c>
      <x:c r="G3" s="129" t="inlineStr">
        <x:is>
          <x:t xml:space="preserve">VB1</x:t>
        </x:is>
      </x:c>
      <x:c r="H3" s="129" t="inlineStr">
        <x:is>
          <x:t xml:space="preserve">Null</x:t>
        </x:is>
      </x:c>
      <x:c r="I3" s="129" t="inlineStr">
        <x:is>
          <x:t xml:space="preserve">IB1</x:t>
        </x:is>
      </x:c>
    </x:row>
    <x:row r="4" ht="42" customHeight="1">
      <x:c r="A4" s="130" t="inlineStr">
        <x:is>
          <x:t xml:space="preserve">journey step</x:t>
        </x:is>
      </x:c>
      <x:c r="B4" s="129" t="inlineStr">
        <x:is>
          <x:t xml:space="preserve">Bước hiện tại hợp lệ</x:t>
        </x:is>
      </x:c>
      <x:c r="C4" s="129" t="inlineStr">
        <x:is>
          <x:t xml:space="preserve">VP2</x:t>
        </x:is>
      </x:c>
      <x:c r="D4" s="129" t="inlineStr">
        <x:is>
          <x:t xml:space="preserve">Advance sai thứ tự</x:t>
        </x:is>
      </x:c>
      <x:c r="E4" s="129" t="inlineStr">
        <x:is>
          <x:t xml:space="preserve">IP2</x:t>
        </x:is>
      </x:c>
      <x:c r="F4" s="129" t="inlineStr">
        <x:is>
          <x:t xml:space="preserve">Bước đầu/cuối</x:t>
        </x:is>
      </x:c>
      <x:c r="G4" s="129" t="inlineStr">
        <x:is>
          <x:t xml:space="preserve">VB2</x:t>
        </x:is>
      </x:c>
      <x:c r="H4" s="129" t="inlineStr">
        <x:is>
          <x:t xml:space="preserve">Ngoài chuỗi</x:t>
        </x:is>
      </x:c>
      <x:c r="I4" s="129" t="inlineStr">
        <x:is>
          <x:t xml:space="preserve">IB2</x:t>
        </x:is>
      </x:c>
    </x:row>
    <x:row r="5" ht="42" customHeight="1">
      <x:c r="A5" s="130" t="inlineStr">
        <x:is>
          <x:t xml:space="preserve">report range</x:t>
        </x:is>
      </x:c>
      <x:c r="B5" s="129" t="inlineStr">
        <x:is>
          <x:t xml:space="preserve">from&lt;=to</x:t>
        </x:is>
      </x:c>
      <x:c r="C5" s="129" t="inlineStr">
        <x:is>
          <x:t xml:space="preserve">VP3</x:t>
        </x:is>
      </x:c>
      <x:c r="D5" s="129" t="inlineStr">
        <x:is>
          <x:t xml:space="preserve">from&gt;to/sai format</x:t>
        </x:is>
      </x:c>
      <x:c r="E5" s="129" t="inlineStr">
        <x:is>
          <x:t xml:space="preserve">IP3</x:t>
        </x:is>
      </x:c>
      <x:c r="F5" s="129" t="inlineStr">
        <x:is>
          <x:t xml:space="preserve">Cùng ngày</x:t>
        </x:is>
      </x:c>
      <x:c r="G5" s="129" t="inlineStr">
        <x:is>
          <x:t xml:space="preserve">VB3</x:t>
        </x:is>
      </x:c>
      <x:c r="H5" s="129" t="inlineStr">
        <x:is>
          <x:t xml:space="preserve">Đảo 1 ngày</x:t>
        </x:is>
      </x:c>
      <x:c r="I5" s="129" t="inlineStr">
        <x:is>
          <x:t xml:space="preserve">IB3</x:t>
        </x:is>
      </x:c>
    </x:row>
    <x:row r="6" ht="42" customHeight="1">
      <x:c r="A6" s="130" t="inlineStr">
        <x:is>
          <x:t xml:space="preserve">manager role</x:t>
        </x:is>
      </x:c>
      <x:c r="B6" s="129" t="inlineStr">
        <x:is>
          <x:t xml:space="preserve">CLINIC_MANAGER/ADMIN</x:t>
        </x:is>
      </x:c>
      <x:c r="C6" s="129" t="inlineStr">
        <x:is>
          <x:t xml:space="preserve">VP4</x:t>
        </x:is>
      </x:c>
      <x:c r="D6" s="129" t="inlineStr">
        <x:is>
          <x:t xml:space="preserve">Sai role</x:t>
        </x:is>
      </x:c>
      <x:c r="E6" s="129" t="inlineStr">
        <x:is>
          <x:t xml:space="preserve">IP4</x:t>
        </x:is>
      </x:c>
      <x:c r="F6" s="129" t="inlineStr">
        <x:is>
          <x:t xml:space="preserve">N/A</x:t>
        </x:is>
      </x:c>
      <x:c r="G6" s="129" t="inlineStr">
        <x:is>
          <x:t xml:space="preserve">VB4</x:t>
        </x:is>
      </x:c>
      <x:c r="H6" s="129" t="inlineStr">
        <x:is>
          <x:t xml:space="preserve">Null</x:t>
        </x:is>
      </x:c>
      <x:c r="I6" s="129" t="inlineStr">
        <x:is>
          <x:t xml:space="preserve">IB4</x:t>
        </x:is>
      </x:c>
    </x:row>
    <x:row r="7" ht="42" customHeight="1">
      <x:c r="A7" s="130" t="inlineStr">
        <x:is>
          <x:t xml:space="preserve">rating</x:t>
        </x:is>
      </x:c>
      <x:c r="B7" s="129" t="inlineStr">
        <x:is>
          <x:t xml:space="preserve">Trong miền</x:t>
        </x:is>
      </x:c>
      <x:c r="C7" s="129" t="inlineStr">
        <x:is>
          <x:t xml:space="preserve">VP5</x:t>
        </x:is>
      </x:c>
      <x:c r="D7" s="129" t="inlineStr">
        <x:is>
          <x:t xml:space="preserve">Ngoài miền/gửi trùng</x:t>
        </x:is>
      </x:c>
      <x:c r="E7" s="129" t="inlineStr">
        <x:is>
          <x:t xml:space="preserve">IP5</x:t>
        </x:is>
      </x:c>
      <x:c r="F7" s="129" t="inlineStr">
        <x:is>
          <x:t xml:space="preserve">Min/max</x:t>
        </x:is>
      </x:c>
      <x:c r="G7" s="129" t="inlineStr">
        <x:is>
          <x:t xml:space="preserve">VB5</x:t>
        </x:is>
      </x:c>
      <x:c r="H7" s="129" t="inlineStr">
        <x:is>
          <x:t xml:space="preserve">Min-1/max+1</x:t>
        </x:is>
      </x:c>
      <x:c r="I7" s="129" t="inlineStr">
        <x:is>
          <x:t xml:space="preserve">IB5</x:t>
        </x:is>
      </x:c>
    </x:row>
    <x:row r="8" ht="42" customHeight="1">
      <x:c r="A8" s="130" t="inlineStr">
        <x:is>
          <x:t xml:space="preserve">audit entity</x:t>
        </x:is>
      </x:c>
      <x:c r="B8" s="129" t="inlineStr">
        <x:is>
          <x:t xml:space="preserve">Entity/action tồn tại</x:t>
        </x:is>
      </x:c>
      <x:c r="C8" s="129" t="inlineStr">
        <x:is>
          <x:t xml:space="preserve">VP6</x:t>
        </x:is>
      </x:c>
      <x:c r="D8" s="129" t="inlineStr">
        <x:is>
          <x:t xml:space="preserve">Sai entity/id</x:t>
        </x:is>
      </x:c>
      <x:c r="E8" s="129" t="inlineStr">
        <x:is>
          <x:t xml:space="preserve">IP6</x:t>
        </x:is>
      </x:c>
      <x:c r="F8" s="129" t="inlineStr">
        <x:is>
          <x:t xml:space="preserve">N/A</x:t>
        </x:is>
      </x:c>
      <x:c r="G8" s="129" t="inlineStr">
        <x:is>
          <x:t xml:space="preserve">VB6</x:t>
        </x:is>
      </x:c>
      <x:c r="H8" s="129" t="inlineStr">
        <x:is>
          <x:t xml:space="preserve">Null</x:t>
        </x:is>
      </x:c>
      <x:c r="I8" s="129" t="inlineStr">
        <x:is>
          <x:t xml:space="preserve">IB6</x:t>
        </x:is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inlineStr">
        <x:is>
          <x:t xml:space="preserve">* Notes:</x:t>
        </x:is>
      </x:c>
      <x:c r="B27" s="141" t="inlineStr">
        <x:is>
          <x:t xml:space="preserve">Đối chiếu tag VP/IP/VB/IB với Test Design.</x:t>
        </x:is>
      </x:c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inlineStr">
        <x:is>
          <x:t xml:space="preserve">Test case design</x:t>
        </x:is>
      </x:c>
      <x:c r="B1" s="172"/>
      <x:c r="C1" s="172"/>
      <x:c r="D1" s="172"/>
    </x:row>
    <x:row r="2" ht="25.5">
      <x:c r="A2" s="83" t="inlineStr">
        <x:is>
          <x:t xml:space="preserve">Test-case No</x:t>
        </x:is>
      </x:c>
      <x:c r="B2" s="83" t="inlineStr">
        <x:is>
          <x:t xml:space="preserve">Description</x:t>
        </x:is>
      </x:c>
      <x:c r="C2" s="83" t="inlineStr">
        <x:is>
          <x:t xml:space="preserve">Expected result</x:t>
        </x:is>
      </x:c>
      <x:c r="D2" s="83" t="inlineStr">
        <x:is>
          <x:t xml:space="preserve">TAG</x:t>
        </x:is>
      </x:c>
    </x:row>
    <x:row r="3" ht="82" customHeight="1">
      <x:c r="A3" s="152">
        <x:v>1</x:v>
      </x:c>
      <x:c r="B3" s="151" t="inlineStr">
        <x:is>
          <x:t xml:space="preserve">Xem hành trình bệnh nhân.</x:t>
        </x:is>
      </x:c>
      <x:c r="C3" s="151" t="inlineStr">
        <x:is>
          <x:t xml:space="preserve">Trả đúng thứ tự queue/record/test.</x:t>
        </x:is>
      </x:c>
      <x:c r="D3" s="151" t="inlineStr">
        <x:is>
          <x:t xml:space="preserve">VP1,VP2</x:t>
        </x:is>
      </x:c>
    </x:row>
    <x:row r="4" ht="82" customHeight="1">
      <x:c r="A4" s="152">
        <x:v>2</x:v>
      </x:c>
      <x:c r="B4" s="151" t="inlineStr">
        <x:is>
          <x:t xml:space="preserve">Advance bước hiện tại.</x:t>
        </x:is>
      </x:c>
      <x:c r="C4" s="151" t="inlineStr">
        <x:is>
          <x:t xml:space="preserve">Bước kế tiếp được activate.</x:t>
        </x:is>
      </x:c>
      <x:c r="D4" s="151" t="inlineStr">
        <x:is>
          <x:t xml:space="preserve">VP2</x:t>
        </x:is>
      </x:c>
    </x:row>
    <x:row r="5" ht="82" customHeight="1">
      <x:c r="A5" s="152">
        <x:v>3</x:v>
      </x:c>
      <x:c r="B5" s="151" t="inlineStr">
        <x:is>
          <x:t xml:space="preserve">Advance sai thứ tự.</x:t>
        </x:is>
      </x:c>
      <x:c r="C5" s="151" t="inlineStr">
        <x:is>
          <x:t xml:space="preserve">409/400; không mở bước sai.</x:t>
        </x:is>
      </x:c>
      <x:c r="D5" s="151" t="inlineStr">
        <x:is>
          <x:t xml:space="preserve">IP2</x:t>
        </x:is>
      </x:c>
    </x:row>
    <x:row r="6" ht="82" customHeight="1">
      <x:c r="A6" s="152">
        <x:v>4</x:v>
      </x:c>
      <x:c r="B6" s="151" t="inlineStr">
        <x:is>
          <x:t xml:space="preserve">Xem dashboard theo khoảng ngày.</x:t>
        </x:is>
      </x:c>
      <x:c r="C6" s="151" t="inlineStr">
        <x:is>
          <x:t xml:space="preserve">Số liệu khớp Visit/Invoice/Service.</x:t>
        </x:is>
      </x:c>
      <x:c r="D6" s="151" t="inlineStr">
        <x:is>
          <x:t xml:space="preserve">VP3,VP4</x:t>
        </x:is>
      </x:c>
    </x:row>
    <x:row r="7" ht="82" customHeight="1">
      <x:c r="A7" s="152">
        <x:v>5</x:v>
      </x:c>
      <x:c r="B7" s="151" t="inlineStr">
        <x:is>
          <x:t xml:space="preserve">Customer gửi rating hợp lệ.</x:t>
        </x:is>
      </x:c>
      <x:c r="C7" s="151" t="inlineStr">
        <x:is>
          <x:t xml:space="preserve">Rating/Feedback lưu đúng record.</x:t>
        </x:is>
      </x:c>
      <x:c r="D7" s="151" t="inlineStr">
        <x:is>
          <x:t xml:space="preserve">VP5</x:t>
        </x:is>
      </x:c>
    </x:row>
    <x:row r="8" ht="82" customHeight="1">
      <x:c r="A8" s="152">
        <x:v>6</x:v>
      </x:c>
      <x:c r="B8" s="151" t="inlineStr">
        <x:is>
          <x:t xml:space="preserve">Truy vấn audit log.</x:t>
        </x:is>
      </x:c>
      <x:c r="C8" s="151" t="inlineStr">
        <x:is>
          <x:t xml:space="preserve">Trả snapshot/action đúng entity.</x:t>
        </x:is>
      </x:c>
      <x:c r="D8" s="151" t="inlineStr">
        <x:is>
          <x:t xml:space="preserve">VP6</x:t>
        </x:is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inlineStr">
        <x:is>
          <x:t xml:space="preserve">IT15 - Hành trình, báo cáo và phản hồi</x:t>
        </x:is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inlineStr">
        <x:is>
          <x:t xml:space="preserve">Visit/Queue/Record/Invoice -&gt; Journey/Report/Feedback/Audit.</x:t>
        </x:is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f>COUNTIF(A12:A1000,"IT*")</x:f>
        <x:v>0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inlineStr">
        <x:is>
          <x:t xml:space="preserve">Test Case ID</x:t>
        </x:is>
      </x:c>
      <x:c r="B10" s="83" t="inlineStr">
        <x:is>
          <x:t xml:space="preserve">Test Case Description</x:t>
        </x:is>
      </x:c>
      <x:c r="C10" s="83" t="inlineStr">
        <x:is>
          <x:t xml:space="preserve">Test Case Procedure</x:t>
        </x:is>
      </x:c>
      <x:c r="D10" s="83" t="inlineStr">
        <x:is>
          <x:t xml:space="preserve">Expected Results</x:t>
        </x:is>
      </x:c>
      <x:c r="E10" s="83" t="inlineStr">
        <x:is>
          <x:t xml:space="preserve">Pre-conditions</x:t>
        </x:is>
      </x:c>
      <x:c r="F10" s="83" t="inlineStr">
        <x:is>
          <x:t xml:space="preserve">Round 1</x:t>
        </x:is>
      </x:c>
      <x:c r="G10" s="83" t="inlineStr">
        <x:is>
          <x:t xml:space="preserve">Test date</x:t>
        </x:is>
      </x:c>
      <x:c r="H10" s="83" t="inlineStr">
        <x:is>
          <x:t xml:space="preserve">Tester</x:t>
        </x:is>
      </x:c>
      <x:c r="I10" s="83" t="inlineStr">
        <x:is>
          <x:t xml:space="preserve">Round 2</x:t>
        </x:is>
      </x:c>
      <x:c r="J10" s="83" t="inlineStr">
        <x:is>
          <x:t xml:space="preserve">Test date</x:t>
        </x:is>
      </x:c>
      <x:c r="K10" s="83" t="inlineStr">
        <x:is>
          <x:t xml:space="preserve">Tester</x:t>
        </x:is>
      </x:c>
      <x:c r="L10" s="83" t="inlineStr">
        <x:is>
          <x:t xml:space="preserve">Round 3</x:t>
        </x:is>
      </x:c>
      <x:c r="M10" s="83" t="inlineStr">
        <x:is>
          <x:t xml:space="preserve">Test date</x:t>
        </x:is>
      </x:c>
      <x:c r="N10" s="83" t="inlineStr">
        <x:is>
          <x:t xml:space="preserve">Tester</x:t>
        </x:is>
      </x:c>
      <x:c r="O10" s="83" t="inlineStr">
        <x:is>
          <x:t xml:space="preserve">Note</x:t>
        </x:is>
      </x:c>
      <x:c r="Q10" s="34"/>
    </x:row>
    <x:row r="11" s="30" customFormat="1" ht="18" customHeight="1">
      <x:c r="A11" s="79" t="inlineStr">
        <x:is>
          <x:t xml:space="preserve">Luồng hợp lệ</x:t>
        </x:is>
      </x:c>
      <x:c r="Q11" s="38"/>
    </x:row>
    <x:row r="12" s="44" customFormat="1" ht="105" customHeight="1">
      <x:c r="A12" s="39" t="inlineStr">
        <x:is>
          <x:t xml:space="preserve">IT15-001</x:t>
        </x:is>
      </x:c>
      <x:c r="B12" s="39" t="inlineStr">
        <x:is>
          <x:t xml:space="preserve">Xem hành trình</x:t>
        </x:is>
      </x:c>
      <x:c r="C12" s="39" t="inlineStr">
        <x:is>
          <x:t xml:space="preserve">GET /api/v1/patient-journeys/{visitId}.</x:t>
        </x:is>
      </x:c>
      <x:c r="D12" s="45" t="inlineStr">
        <x:is>
          <x:t xml:space="preserve">Danh sách bước đúng trạng thái/thứ tự.</x:t>
        </x:is>
      </x:c>
      <x:c r="E12" s="39" t="inlineStr">
        <x:is>
          <x:t xml:space="preserve">Visit tồn tại.</x:t>
        </x:is>
      </x:c>
      <x:c r="F12" s="39" t="inlineStr">
        <x:is>
          <x:t xml:space="preserve">Pending</x:t>
        </x:is>
      </x:c>
      <x:c r="I12" s="39" t="inlineStr">
        <x:is>
          <x:t xml:space="preserve">Pending</x:t>
        </x:is>
      </x:c>
      <x:c r="L12" s="39" t="inlineStr">
        <x:is>
          <x:t xml:space="preserve">Pending</x:t>
        </x:is>
      </x:c>
      <x:c r="O12" s="39" t="inlineStr">
        <x:is>
          <x:t xml:space="preserve">VP1,VP2</x:t>
        </x:is>
      </x:c>
      <x:c r="Q12" s="43"/>
    </x:row>
    <x:row r="13" ht="105" customHeight="1">
      <x:c r="A13" s="39" t="inlineStr">
        <x:is>
          <x:t xml:space="preserve">IT15-002</x:t>
        </x:is>
      </x:c>
      <x:c r="B13" s="39" t="inlineStr">
        <x:is>
          <x:t xml:space="preserve">Chuyển bước</x:t>
        </x:is>
      </x:c>
      <x:c r="C13" s="39" t="inlineStr">
        <x:is>
          <x:t xml:space="preserve">POST /patient-journeys/{visitId}/advance.</x:t>
        </x:is>
      </x:c>
      <x:c r="D13" s="45" t="inlineStr">
        <x:is>
          <x:t xml:space="preserve">Bước sau BLOCKED -&gt; WAITING.</x:t>
        </x:is>
      </x:c>
      <x:c r="E13" s="39" t="inlineStr">
        <x:is>
          <x:t xml:space="preserve">Bước hiện tại DONE.</x:t>
        </x:is>
      </x:c>
      <x:c r="F13" s="39" t="inlineStr">
        <x:is>
          <x:t xml:space="preserve">Pending</x:t>
        </x:is>
      </x:c>
      <x:c r="I13" s="39" t="inlineStr">
        <x:is>
          <x:t xml:space="preserve">Pending</x:t>
        </x:is>
      </x:c>
      <x:c r="L13" s="39" t="inlineStr">
        <x:is>
          <x:t xml:space="preserve">Pending</x:t>
        </x:is>
      </x:c>
      <x:c r="O13" s="39" t="inlineStr">
        <x:is>
          <x:t xml:space="preserve">VP2</x:t>
        </x:is>
      </x:c>
      <x:c r="Q13" s="43"/>
    </x:row>
    <x:row r="14" ht="18" customHeight="1">
      <x:c r="A14" s="79" t="inlineStr">
        <x:is>
          <x:t xml:space="preserve">Validation nghiệp vụ</x:t>
        </x:is>
      </x:c>
      <x:c r="Q14" s="43"/>
    </x:row>
    <x:row r="15" s="30" customFormat="1" ht="105" customHeight="1">
      <x:c r="A15" s="39" t="inlineStr">
        <x:is>
          <x:t xml:space="preserve">IT15-003</x:t>
        </x:is>
      </x:c>
      <x:c r="B15" s="39" t="inlineStr">
        <x:is>
          <x:t xml:space="preserve">Sai thứ tự</x:t>
        </x:is>
      </x:c>
      <x:c r="C15" s="39" t="inlineStr">
        <x:is>
          <x:t xml:space="preserve">Advance khi bước hiện tại chưa DONE.</x:t>
        </x:is>
      </x:c>
      <x:c r="D15" s="45" t="inlineStr">
        <x:is>
          <x:t xml:space="preserve">409/400; không mở bước sau.</x:t>
        </x:is>
      </x:c>
      <x:c r="E15" s="39" t="inlineStr">
        <x:is>
          <x:t xml:space="preserve">Có active step.</x:t>
        </x:is>
      </x:c>
      <x:c r="F15" s="39" t="inlineStr">
        <x:is>
          <x:t xml:space="preserve">Pending</x:t>
        </x:is>
      </x:c>
      <x:c r="I15" s="39" t="inlineStr">
        <x:is>
          <x:t xml:space="preserve">Pending</x:t>
        </x:is>
      </x:c>
      <x:c r="L15" s="39" t="inlineStr">
        <x:is>
          <x:t xml:space="preserve">Pending</x:t>
        </x:is>
      </x:c>
      <x:c r="O15" s="39" t="inlineStr">
        <x:is>
          <x:t xml:space="preserve">IP2</x:t>
        </x:is>
      </x:c>
      <x:c r="Q15" s="38"/>
    </x:row>
    <x:row r="16" ht="105" customHeight="1">
      <x:c r="A16" s="39" t="inlineStr">
        <x:is>
          <x:t xml:space="preserve">IT15-004</x:t>
        </x:is>
      </x:c>
      <x:c r="B16" s="39" t="inlineStr">
        <x:is>
          <x:t xml:space="preserve">Dashboard</x:t>
        </x:is>
      </x:c>
      <x:c r="C16" s="39" t="inlineStr">
        <x:is>
          <x:t xml:space="preserve">GET /api/v1/reports/dashboard với date range.</x:t>
        </x:is>
      </x:c>
      <x:c r="D16" s="45" t="inlineStr">
        <x:is>
          <x:t xml:space="preserve">KPI khớp dữ liệu Visit/Invoice.</x:t>
        </x:is>
      </x:c>
      <x:c r="E16" s="39" t="inlineStr">
        <x:is>
          <x:t xml:space="preserve">Manager token.</x:t>
        </x:is>
      </x:c>
      <x:c r="F16" s="39" t="inlineStr">
        <x:is>
          <x:t xml:space="preserve">Pending</x:t>
        </x:is>
      </x:c>
      <x:c r="I16" s="39" t="inlineStr">
        <x:is>
          <x:t xml:space="preserve">Pending</x:t>
        </x:is>
      </x:c>
      <x:c r="L16" s="39" t="inlineStr">
        <x:is>
          <x:t xml:space="preserve">Pending</x:t>
        </x:is>
      </x:c>
      <x:c r="O16" s="39" t="inlineStr">
        <x:is>
          <x:t xml:space="preserve">VP3,VP4</x:t>
        </x:is>
      </x:c>
      <x:c r="Q16" s="43"/>
    </x:row>
    <x:row r="17" ht="18">
      <x:c r="A17" s="79" t="inlineStr">
        <x:is>
          <x:t xml:space="preserve">Quyền/trạng thái biên</x:t>
        </x:is>
      </x:c>
    </x:row>
    <x:row r="18" ht="105" customHeight="1">
      <x:c r="A18" s="39" t="inlineStr">
        <x:is>
          <x:t xml:space="preserve">IT15-005</x:t>
        </x:is>
      </x:c>
      <x:c r="B18" s="39" t="inlineStr">
        <x:is>
          <x:t xml:space="preserve">Phản hồi</x:t>
        </x:is>
      </x:c>
      <x:c r="C18" s="39" t="inlineStr">
        <x:is>
          <x:t xml:space="preserve">POST /medical-history/{recordId}/feedback.</x:t>
        </x:is>
      </x:c>
      <x:c r="D18" s="45" t="inlineStr">
        <x:is>
          <x:t xml:space="preserve">Feedback gắn đúng customer/record.</x:t>
        </x:is>
      </x:c>
      <x:c r="E18" s="39" t="inlineStr">
        <x:is>
          <x:t xml:space="preserve">Record COMPLETED.</x:t>
        </x:is>
      </x:c>
      <x:c r="F18" s="39" t="inlineStr">
        <x:is>
          <x:t xml:space="preserve">Pending</x:t>
        </x:is>
      </x:c>
      <x:c r="I18" s="39" t="inlineStr">
        <x:is>
          <x:t xml:space="preserve">Pending</x:t>
        </x:is>
      </x:c>
      <x:c r="L18" s="39" t="inlineStr">
        <x:is>
          <x:t xml:space="preserve">Pending</x:t>
        </x:is>
      </x:c>
      <x:c r="O18" s="39" t="inlineStr">
        <x:is>
          <x:t xml:space="preserve">VP5</x:t>
        </x:is>
      </x:c>
    </x:row>
    <x:row r="19" s="44" customFormat="1" ht="105" customHeight="1">
      <x:c r="A19" s="39" t="inlineStr">
        <x:is>
          <x:t xml:space="preserve">IT15-006</x:t>
        </x:is>
      </x:c>
      <x:c r="B19" s="39" t="inlineStr">
        <x:is>
          <x:t xml:space="preserve">Audit log</x:t>
        </x:is>
      </x:c>
      <x:c r="C19" s="39" t="inlineStr">
        <x:is>
          <x:t xml:space="preserve">GET /api/v1/audit-logs/by-entity.</x:t>
        </x:is>
      </x:c>
      <x:c r="D19" s="45" t="inlineStr">
        <x:is>
          <x:t xml:space="preserve">Trả action/snapshot đúng thứ tự.</x:t>
        </x:is>
      </x:c>
      <x:c r="E19" s="39" t="inlineStr">
        <x:is>
          <x:t xml:space="preserve">ADMIN/MANAGER token.</x:t>
        </x:is>
      </x:c>
      <x:c r="F19" s="39" t="inlineStr">
        <x:is>
          <x:t xml:space="preserve">Pending</x:t>
        </x:is>
      </x:c>
      <x:c r="I19" s="39" t="inlineStr">
        <x:is>
          <x:t xml:space="preserve">Pending</x:t>
        </x:is>
      </x:c>
      <x:c r="L19" s="39" t="inlineStr">
        <x:is>
          <x:t xml:space="preserve">Pending</x:t>
        </x:is>
      </x:c>
      <x:c r="O19" s="39" t="inlineStr">
        <x:is>
          <x:t xml:space="preserve">VP6</x:t>
        </x:is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03fd233d0d45482c"/>
</x:worksheet>
</file>