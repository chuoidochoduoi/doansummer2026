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"/>
    </mc:Choice>
  </mc:AlternateContent>
  <xr:revisionPtr revIDLastSave="0" documentId="13_ncr:1_{F2E0EFA2-5B8C-4181-B3FA-1BF2F9950772}" xr6:coauthVersionLast="47" xr6:coauthVersionMax="47" xr10:uidLastSave="{00000000-0000-0000-0000-000000000000}"/>
  <bookViews>
    <workbookView xWindow="-120" yWindow="-120" windowWidth="29040" windowHeight="15720" firstSheet="5" activeTab="11" xr2:uid="{00000000-000D-0000-FFFF-FFFF00000000}"/>
  </bookViews>
  <sheets>
    <sheet name="Cover" sheetId="1" r:id="rId1"/>
    <sheet name="Test Cases" sheetId="2" r:id="rId2"/>
    <sheet name="Test Statistics" sheetId="3" r:id="rId3"/>
    <sheet name="IT01-RegisterOTP" sheetId="4" r:id="rId4"/>
    <sheet name="IT02-LoginToken" sheetId="5" r:id="rId5"/>
    <sheet name="IT03-Profile" sheetId="6" r:id="rId6"/>
    <sheet name="IT04-Appointment" sheetId="7" r:id="rId7"/>
    <sheet name="IT05-PaymentQueue" sheetId="8" r:id="rId8"/>
    <sheet name="IT06-QueueExam" sheetId="9" r:id="rId9"/>
    <sheet name="IT07-Examination" sheetId="10" r:id="rId10"/>
    <sheet name="IT08-TestOrder" sheetId="11" r:id="rId11"/>
    <sheet name="IT09-LabResult" sheetId="12" r:id="rId12"/>
    <sheet name="IT10-CompleteFollowup" sheetId="13" r:id="rId13"/>
    <sheet name="IT11-InsuranceTxn" sheetId="14" r:id="rId14"/>
    <sheet name="IT12-StaffSchedule" sheetId="15" r:id="rId15"/>
    <sheet name="IT13-AdminCatalog" sheetId="16" r:id="rId16"/>
    <sheet name="IT14-NotifyChat" sheetId="17" r:id="rId17"/>
    <sheet name="IT15-JourneyReport" sheetId="18" r:id="rId18"/>
    <sheet name="MessageList" sheetId="19" r:id="rId19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8" l="1"/>
  <c r="D8" i="18"/>
  <c r="C8" i="18"/>
  <c r="B8" i="18"/>
  <c r="E7" i="18"/>
  <c r="D7" i="18"/>
  <c r="C7" i="18"/>
  <c r="B7" i="18"/>
  <c r="E6" i="18"/>
  <c r="F20" i="3" s="1"/>
  <c r="D6" i="18"/>
  <c r="E20" i="3" s="1"/>
  <c r="C6" i="18"/>
  <c r="D20" i="3" s="1"/>
  <c r="B6" i="18"/>
  <c r="C20" i="3" s="1"/>
  <c r="E8" i="17"/>
  <c r="D8" i="17"/>
  <c r="C8" i="17"/>
  <c r="B8" i="17"/>
  <c r="E7" i="17"/>
  <c r="D7" i="17"/>
  <c r="C7" i="17"/>
  <c r="B7" i="17"/>
  <c r="E6" i="17"/>
  <c r="F19" i="3" s="1"/>
  <c r="D6" i="17"/>
  <c r="E19" i="3" s="1"/>
  <c r="C6" i="17"/>
  <c r="D19" i="3" s="1"/>
  <c r="B6" i="17"/>
  <c r="C19" i="3" s="1"/>
  <c r="E8" i="16"/>
  <c r="D8" i="16"/>
  <c r="C8" i="16"/>
  <c r="B8" i="16"/>
  <c r="E7" i="16"/>
  <c r="D7" i="16"/>
  <c r="C7" i="16"/>
  <c r="B7" i="16"/>
  <c r="E6" i="16"/>
  <c r="F18" i="3" s="1"/>
  <c r="D6" i="16"/>
  <c r="E18" i="3" s="1"/>
  <c r="C6" i="16"/>
  <c r="D18" i="3" s="1"/>
  <c r="B6" i="16"/>
  <c r="C18" i="3" s="1"/>
  <c r="E8" i="15"/>
  <c r="D8" i="15"/>
  <c r="C8" i="15"/>
  <c r="B8" i="15"/>
  <c r="E7" i="15"/>
  <c r="D7" i="15"/>
  <c r="C7" i="15"/>
  <c r="B7" i="15"/>
  <c r="E6" i="15"/>
  <c r="F17" i="3" s="1"/>
  <c r="D6" i="15"/>
  <c r="E17" i="3" s="1"/>
  <c r="C6" i="15"/>
  <c r="D17" i="3" s="1"/>
  <c r="B6" i="15"/>
  <c r="C17" i="3" s="1"/>
  <c r="E8" i="14"/>
  <c r="D8" i="14"/>
  <c r="C8" i="14"/>
  <c r="B8" i="14"/>
  <c r="E7" i="14"/>
  <c r="D7" i="14"/>
  <c r="C7" i="14"/>
  <c r="B7" i="14"/>
  <c r="E6" i="14"/>
  <c r="F16" i="3" s="1"/>
  <c r="D6" i="14"/>
  <c r="E16" i="3" s="1"/>
  <c r="C6" i="14"/>
  <c r="D16" i="3" s="1"/>
  <c r="B6" i="14"/>
  <c r="C16" i="3" s="1"/>
  <c r="E8" i="13"/>
  <c r="D8" i="13"/>
  <c r="C8" i="13"/>
  <c r="B8" i="13"/>
  <c r="E7" i="13"/>
  <c r="D7" i="13"/>
  <c r="C7" i="13"/>
  <c r="B7" i="13"/>
  <c r="E6" i="13"/>
  <c r="F15" i="3" s="1"/>
  <c r="D6" i="13"/>
  <c r="E15" i="3" s="1"/>
  <c r="C6" i="13"/>
  <c r="D15" i="3" s="1"/>
  <c r="B6" i="13"/>
  <c r="C15" i="3" s="1"/>
  <c r="E8" i="12"/>
  <c r="D8" i="12"/>
  <c r="C8" i="12"/>
  <c r="B8" i="12"/>
  <c r="E7" i="12"/>
  <c r="D7" i="12"/>
  <c r="C7" i="12"/>
  <c r="B7" i="12"/>
  <c r="E6" i="12"/>
  <c r="F14" i="3" s="1"/>
  <c r="D6" i="12"/>
  <c r="E14" i="3" s="1"/>
  <c r="C6" i="12"/>
  <c r="D14" i="3" s="1"/>
  <c r="B6" i="12"/>
  <c r="C14" i="3" s="1"/>
  <c r="E8" i="11"/>
  <c r="D8" i="11"/>
  <c r="C8" i="11"/>
  <c r="B8" i="11"/>
  <c r="E7" i="11"/>
  <c r="D7" i="11"/>
  <c r="C7" i="11"/>
  <c r="B7" i="11"/>
  <c r="E6" i="11"/>
  <c r="F13" i="3" s="1"/>
  <c r="D6" i="11"/>
  <c r="E13" i="3" s="1"/>
  <c r="C6" i="11"/>
  <c r="D13" i="3" s="1"/>
  <c r="B6" i="11"/>
  <c r="C13" i="3" s="1"/>
  <c r="E8" i="10"/>
  <c r="D8" i="10"/>
  <c r="C8" i="10"/>
  <c r="B8" i="10"/>
  <c r="E7" i="10"/>
  <c r="D7" i="10"/>
  <c r="C7" i="10"/>
  <c r="B7" i="10"/>
  <c r="E6" i="10"/>
  <c r="F12" i="3" s="1"/>
  <c r="D6" i="10"/>
  <c r="E12" i="3" s="1"/>
  <c r="C6" i="10"/>
  <c r="D12" i="3" s="1"/>
  <c r="B6" i="10"/>
  <c r="C12" i="3" s="1"/>
  <c r="E8" i="9"/>
  <c r="D8" i="9"/>
  <c r="C8" i="9"/>
  <c r="B8" i="9"/>
  <c r="E7" i="9"/>
  <c r="D7" i="9"/>
  <c r="C7" i="9"/>
  <c r="B7" i="9"/>
  <c r="E6" i="9"/>
  <c r="F11" i="3" s="1"/>
  <c r="D6" i="9"/>
  <c r="E11" i="3" s="1"/>
  <c r="C6" i="9"/>
  <c r="D11" i="3" s="1"/>
  <c r="B6" i="9"/>
  <c r="C11" i="3" s="1"/>
  <c r="E8" i="8"/>
  <c r="D8" i="8"/>
  <c r="C8" i="8"/>
  <c r="B8" i="8"/>
  <c r="E7" i="8"/>
  <c r="D7" i="8"/>
  <c r="C7" i="8"/>
  <c r="B7" i="8"/>
  <c r="E6" i="8"/>
  <c r="F10" i="3" s="1"/>
  <c r="D6" i="8"/>
  <c r="E10" i="3" s="1"/>
  <c r="C6" i="8"/>
  <c r="D10" i="3" s="1"/>
  <c r="B6" i="8"/>
  <c r="C10" i="3" s="1"/>
  <c r="E8" i="7"/>
  <c r="D8" i="7"/>
  <c r="C8" i="7"/>
  <c r="B8" i="7"/>
  <c r="E7" i="7"/>
  <c r="D7" i="7"/>
  <c r="C7" i="7"/>
  <c r="B7" i="7"/>
  <c r="E6" i="7"/>
  <c r="F9" i="3" s="1"/>
  <c r="D6" i="7"/>
  <c r="E9" i="3" s="1"/>
  <c r="C6" i="7"/>
  <c r="D9" i="3" s="1"/>
  <c r="B6" i="7"/>
  <c r="C9" i="3" s="1"/>
  <c r="E8" i="6"/>
  <c r="D8" i="6"/>
  <c r="C8" i="6"/>
  <c r="B8" i="6"/>
  <c r="E7" i="6"/>
  <c r="D7" i="6"/>
  <c r="C7" i="6"/>
  <c r="B7" i="6"/>
  <c r="E6" i="6"/>
  <c r="F8" i="3" s="1"/>
  <c r="D6" i="6"/>
  <c r="E8" i="3" s="1"/>
  <c r="C6" i="6"/>
  <c r="D8" i="3" s="1"/>
  <c r="B6" i="6"/>
  <c r="C8" i="3" s="1"/>
  <c r="E8" i="5"/>
  <c r="D8" i="5"/>
  <c r="C8" i="5"/>
  <c r="B8" i="5"/>
  <c r="E7" i="5"/>
  <c r="D7" i="5"/>
  <c r="C7" i="5"/>
  <c r="B7" i="5"/>
  <c r="E6" i="5"/>
  <c r="F7" i="3" s="1"/>
  <c r="D6" i="5"/>
  <c r="E7" i="3" s="1"/>
  <c r="C6" i="5"/>
  <c r="D7" i="3" s="1"/>
  <c r="B6" i="5"/>
  <c r="C7" i="3" s="1"/>
  <c r="E8" i="4"/>
  <c r="D8" i="4"/>
  <c r="C8" i="4"/>
  <c r="B8" i="4"/>
  <c r="E7" i="4"/>
  <c r="D7" i="4"/>
  <c r="C7" i="4"/>
  <c r="B7" i="4"/>
  <c r="E6" i="4"/>
  <c r="F6" i="3" s="1"/>
  <c r="D6" i="4"/>
  <c r="E6" i="3" s="1"/>
  <c r="C6" i="4"/>
  <c r="D6" i="3" s="1"/>
  <c r="B6" i="4"/>
  <c r="C6" i="3" s="1"/>
  <c r="G10" i="3" l="1"/>
  <c r="H10" i="3" s="1"/>
  <c r="G9" i="3"/>
  <c r="H9" i="3" s="1"/>
  <c r="G7" i="3"/>
  <c r="H7" i="3" s="1"/>
  <c r="G17" i="3"/>
  <c r="H17" i="3" s="1"/>
  <c r="G15" i="3"/>
  <c r="H15" i="3" s="1"/>
  <c r="G11" i="3"/>
  <c r="H11" i="3" s="1"/>
  <c r="G13" i="3"/>
  <c r="H13" i="3" s="1"/>
  <c r="G19" i="3"/>
  <c r="H19" i="3" s="1"/>
  <c r="G6" i="3"/>
  <c r="H6" i="3" s="1"/>
  <c r="G20" i="3"/>
  <c r="H20" i="3" s="1"/>
  <c r="G12" i="3"/>
  <c r="H12" i="3" s="1"/>
  <c r="G16" i="3"/>
  <c r="H16" i="3" s="1"/>
  <c r="G18" i="3"/>
  <c r="H18" i="3" s="1"/>
  <c r="G14" i="3"/>
  <c r="H14" i="3" s="1"/>
  <c r="G8" i="3"/>
  <c r="H8" i="3" s="1"/>
</calcChain>
</file>

<file path=xl/sharedStrings.xml><?xml version="1.0" encoding="utf-8"?>
<sst xmlns="http://schemas.openxmlformats.org/spreadsheetml/2006/main" count="1508" uniqueCount="456">
  <si>
    <t>INTEGRATION TEST REPORT DOCUMENT</t>
  </si>
  <si>
    <t>Project Name</t>
  </si>
  <si>
    <t>Clinic Management System</t>
  </si>
  <si>
    <t>Created By</t>
  </si>
  <si>
    <t>QA Team</t>
  </si>
  <si>
    <t>Project Code</t>
  </si>
  <si>
    <t>CLINIC</t>
  </si>
  <si>
    <t>Issue Date</t>
  </si>
  <si>
    <t>Document Code</t>
  </si>
  <si>
    <t>CLINIC_INTEGRATION_TEST</t>
  </si>
  <si>
    <t>Version</t>
  </si>
  <si>
    <t>1.0</t>
  </si>
  <si>
    <t>Test Environment</t>
  </si>
  <si>
    <t>Spring Boot; PostgreSQL; Redis; Postman/Swagger</t>
  </si>
  <si>
    <t>Status</t>
  </si>
  <si>
    <t>Ready for review</t>
  </si>
  <si>
    <t>Record of Change</t>
  </si>
  <si>
    <t>Effective Date</t>
  </si>
  <si>
    <t>Change Item</t>
  </si>
  <si>
    <t>A/D/M</t>
  </si>
  <si>
    <t>Change Description</t>
  </si>
  <si>
    <t>Reference</t>
  </si>
  <si>
    <t>Initial creation</t>
  </si>
  <si>
    <t>A</t>
  </si>
  <si>
    <t>Full integration test design by system flow</t>
  </si>
  <si>
    <t>Clinic Management System source code</t>
  </si>
  <si>
    <t>INTEGRATION TEST FLOW LIST</t>
  </si>
  <si>
    <t>Number of flows</t>
  </si>
  <si>
    <t>Number of test cases</t>
  </si>
  <si>
    <t>No</t>
  </si>
  <si>
    <t>Flow Name</t>
  </si>
  <si>
    <t>Flow Code</t>
  </si>
  <si>
    <t>Sheet Name</t>
  </si>
  <si>
    <t>Test Requirement</t>
  </si>
  <si>
    <t>Pre-condition</t>
  </si>
  <si>
    <t>Registration and OTP verification</t>
  </si>
  <si>
    <t>IT01</t>
  </si>
  <si>
    <t>IT01-RegisterOTP</t>
  </si>
  <si>
    <t>Redis OTP -&gt; Account -&gt; Customer Profile -&gt; JWT</t>
  </si>
  <si>
    <t>Application, PostgreSQL, and Redis are running</t>
  </si>
  <si>
    <t>Login and token refresh</t>
  </si>
  <si>
    <t>IT02</t>
  </si>
  <si>
    <t>IT02-LoginToken</t>
  </si>
  <si>
    <t>Account -&gt; Authentication -&gt; Access Token -&gt; Refresh Token</t>
  </si>
  <si>
    <t>Customer profile and insurance lookup</t>
  </si>
  <si>
    <t>IT03</t>
  </si>
  <si>
    <t>IT03-Profile</t>
  </si>
  <si>
    <t>Account -&gt; Profile -&gt; BHXH insurance service</t>
  </si>
  <si>
    <t>Appointment booking and check-in</t>
  </si>
  <si>
    <t>IT04</t>
  </si>
  <si>
    <t>IT04-Appointment</t>
  </si>
  <si>
    <t>Profile -&gt; Medical Service -&gt; Appointment -&gt; Customer Visit</t>
  </si>
  <si>
    <t>Invoice payment and queue creation</t>
  </si>
  <si>
    <t>IT05</t>
  </si>
  <si>
    <t>IT05-PaymentQueue</t>
  </si>
  <si>
    <t>Invoice -&gt; Transaction -&gt; Queue Ticket</t>
  </si>
  <si>
    <t>Queue calling and examination start</t>
  </si>
  <si>
    <t>IT06</t>
  </si>
  <si>
    <t>IT06-QueueExam</t>
  </si>
  <si>
    <t>Queue Ticket -&gt; Customer Visit -&gt; Vital Signs -&gt; Medical Record</t>
  </si>
  <si>
    <t>Diagnosis and prescription</t>
  </si>
  <si>
    <t>IT07</t>
  </si>
  <si>
    <t>IT07-Examination</t>
  </si>
  <si>
    <t>Medical Record -&gt; ICD-10 -&gt; Prescription -&gt; Medicine</t>
  </si>
  <si>
    <t>Clinical test ordering</t>
  </si>
  <si>
    <t>IT08</t>
  </si>
  <si>
    <t>IT08-TestOrder</t>
  </si>
  <si>
    <t>Medical Record -&gt; Test Request -&gt; Laboratory Queue</t>
  </si>
  <si>
    <t>Laboratory result completion</t>
  </si>
  <si>
    <t>IT09</t>
  </si>
  <si>
    <t>IT09-LabResult</t>
  </si>
  <si>
    <t>Test Request -&gt; Test Result -&gt; Queue Return -&gt; Patient Journey</t>
  </si>
  <si>
    <t>Examination completion and follow-up</t>
  </si>
  <si>
    <t>IT10</t>
  </si>
  <si>
    <t>IT10-CompleteFollowup</t>
  </si>
  <si>
    <t>Medical Record -&gt; Visit -&gt; Queue -&gt; Follow-up Appointment</t>
  </si>
  <si>
    <t>Insurance claim and patient payment</t>
  </si>
  <si>
    <t>IT11</t>
  </si>
  <si>
    <t>IT11-InsuranceTxn</t>
  </si>
  <si>
    <t>BHXH -&gt; Invoice -&gt; Insurance Coverage -&gt; Transaction</t>
  </si>
  <si>
    <t>Staff scheduling and attendance</t>
  </si>
  <si>
    <t>IT12</t>
  </si>
  <si>
    <t>IT12-StaffSchedule</t>
  </si>
  <si>
    <t>Staff -&gt; Capability -&gt; Schedule -&gt; Attendance</t>
  </si>
  <si>
    <t>Administrative catalog management</t>
  </si>
  <si>
    <t>IT13</t>
  </si>
  <si>
    <t>IT13-AdminCatalog</t>
  </si>
  <si>
    <t>Department -&gt; Medical Service -&gt; Service Capability</t>
  </si>
  <si>
    <t>Notification and support chat</t>
  </si>
  <si>
    <t>IT14</t>
  </si>
  <si>
    <t>IT14-NotifyChat</t>
  </si>
  <si>
    <t>Account -&gt; Notification -&gt; Chat Session -&gt; Message</t>
  </si>
  <si>
    <t>Patient journey, report, and feedback</t>
  </si>
  <si>
    <t>IT15</t>
  </si>
  <si>
    <t>IT15-JourneyReport</t>
  </si>
  <si>
    <t>Visit -&gt; Queue -&gt; Medical Record -&gt; Invoice -&gt; Dashboard Report</t>
  </si>
  <si>
    <t>TEST STATISTICS</t>
  </si>
  <si>
    <t>Flow</t>
  </si>
  <si>
    <t>Passed</t>
  </si>
  <si>
    <t>Failed</t>
  </si>
  <si>
    <t>Pending</t>
  </si>
  <si>
    <t>N/A</t>
  </si>
  <si>
    <t>Total</t>
  </si>
  <si>
    <t>Completion</t>
  </si>
  <si>
    <t>IT01 - Registration and OTP verification</t>
  </si>
  <si>
    <t>IT02 - Login and token refresh</t>
  </si>
  <si>
    <t>IT03 - Customer profile and insurance lookup</t>
  </si>
  <si>
    <t>IT04 - Appointment booking and check-in</t>
  </si>
  <si>
    <t>IT05 - Invoice payment and queue creation</t>
  </si>
  <si>
    <t>IT06 - Queue calling and examination start</t>
  </si>
  <si>
    <t>IT07 - Diagnosis and prescription</t>
  </si>
  <si>
    <t>IT08 - Clinical test ordering</t>
  </si>
  <si>
    <t>IT09 - Laboratory result completion</t>
  </si>
  <si>
    <t>IT10 - Examination completion and follow-up</t>
  </si>
  <si>
    <t>IT11 - Insurance claim and patient payment</t>
  </si>
  <si>
    <t>IT12 - Staff scheduling and attendance</t>
  </si>
  <si>
    <t>IT13 - Administrative catalog management</t>
  </si>
  <si>
    <t>IT14 - Notification and support chat</t>
  </si>
  <si>
    <t>IT15 - Patient journey, report, and feedback</t>
  </si>
  <si>
    <t>Feature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</si>
  <si>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</si>
  <si>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</si>
  <si>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</si>
  <si>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</si>
  <si>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</si>
  <si>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</si>
  <si>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</si>
  <si>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</si>
  <si>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</si>
  <si>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</si>
  <si>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</si>
  <si>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</si>
  <si>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</si>
  <si>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</si>
  <si>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Successful flow</t>
  </si>
  <si>
    <t>IT01-001</t>
  </si>
  <si>
    <t>Complete registration and otp verification</t>
  </si>
  <si>
    <t>1. Prepare phone = "0944433222"; otp = "482615"; password = "Clinic@123"
2. Send POST /api/auth/register
3. Query the related database records</t>
  </si>
  <si>
    <t>1. HTTP status = 200 or 201
2. Account and Profile records are created or updated once
3. Response IDs match the stored records</t>
  </si>
  <si>
    <t>1. Database and Redis are available
2. systemRole = "CUSTOMER"
3. Referenced records exist</t>
  </si>
  <si>
    <t>Flow IT01</t>
  </si>
  <si>
    <t>IT01-002</t>
  </si>
  <si>
    <t>Read the integrated result after processing</t>
  </si>
  <si>
    <t>1. Complete case IT01-001
2. Call the corresponding GET endpoint
3. Compare response data with the database</t>
  </si>
  <si>
    <t>1. HTTP status = 200
2. Response contains the new integrated data
3. No duplicate related record exists</t>
  </si>
  <si>
    <t>1. IT01-001 completed successfully
2. Bearer access token is valid</t>
  </si>
  <si>
    <t>Validation and authorization</t>
  </si>
  <si>
    <t>IT01-003</t>
  </si>
  <si>
    <t>Reject invalid request data</t>
  </si>
  <si>
    <t>1. Prepare otp = "48261"
2. Send POST /api/auth/register
3. Check response and database</t>
  </si>
  <si>
    <t>1. HTTP status = 400 or 404
2. A validation or not-found error is returned
3. No related record is created or changed</t>
  </si>
  <si>
    <t>1. Application and database are available
2. Remaining referenced records are valid</t>
  </si>
  <si>
    <t>IT01-004</t>
  </si>
  <si>
    <t>Reject a protected request without authorization</t>
  </si>
  <si>
    <t>1. Set Authorization = null
2. Send GET /api/auth/me
3. Check response and business records</t>
  </si>
  <si>
    <t>1. HTTP status = 401
2. The protected operation is rejected
3. Business records remain unchanged</t>
  </si>
  <si>
    <t>1. The selected endpoint requires authentication
2. Security context has no authenticated account</t>
  </si>
  <si>
    <t>State and integration integrity</t>
  </si>
  <si>
    <t>IT01-005</t>
  </si>
  <si>
    <t>Reject an invalid business state</t>
  </si>
  <si>
    <t>1. Prepare redis.otpVerified["0944433222"] = false
2. Send POST /api/auth/register
3. Check all participating entities</t>
  </si>
  <si>
    <t>1. HTTP status = 400 or 409
2. The current state is preserved
3. No partial downstream update is committed</t>
  </si>
  <si>
    <t>1. redis.otpVerified["0944433222"] = false
2. Authentication context satisfies the endpoint requirement</t>
  </si>
  <si>
    <t>IT01-006</t>
  </si>
  <si>
    <t>Prevent duplicate or downstream-inconsistent processing</t>
  </si>
  <si>
    <t>1. Prepare account.phone.count = 1
2. Prepare Redis connection = unavailable
3. Send POST /api/auth/register
4. Check transaction rollback and record counts</t>
  </si>
  <si>
    <t>1. HTTP status = 400, 409, or 503
2. Existing records remain unchanged
3. No duplicate or orphan record is stored</t>
  </si>
  <si>
    <t>1. account.phone.count = 1
2. Redis connection = unavailable
3. Database transaction management is enabled</t>
  </si>
  <si>
    <t>IT02-001</t>
  </si>
  <si>
    <t>Complete login and token refresh</t>
  </si>
  <si>
    <t>1. Prepare phone = "0944433222"; password = "Clinic@123"
2. Send POST /api/auth/login
3. Query the related database records</t>
  </si>
  <si>
    <t>1. HTTP status = 200 or 201
2. JWT token pair records are created or updated once
3. Response IDs match the stored records</t>
  </si>
  <si>
    <t>Flow IT02</t>
  </si>
  <si>
    <t>IT02-002</t>
  </si>
  <si>
    <t>1. Complete case IT02-001
2. Call the corresponding GET endpoint
3. Compare response data with the database</t>
  </si>
  <si>
    <t>1. IT02-001 completed successfully
2. Bearer access token is valid</t>
  </si>
  <si>
    <t>IT02-003</t>
  </si>
  <si>
    <t>1. Prepare password = "Wrong@123"
2. Send POST /api/auth/login
3. Check response and database</t>
  </si>
  <si>
    <t>IT02-004</t>
  </si>
  <si>
    <t>IT02-005</t>
  </si>
  <si>
    <t>1. Prepare account.isActive = false
2. Send POST /api/auth/login
3. Check all participating entities</t>
  </si>
  <si>
    <t>1. account.isActive = false
2. Authentication context satisfies the endpoint requirement</t>
  </si>
  <si>
    <t>IT02-006</t>
  </si>
  <si>
    <t>1. Prepare refreshToken.revoked = true
2. Prepare token.expiresAt = "2026-08-11T10:00:00"
3. Send POST /api/auth/login
4. Check transaction rollback and record counts</t>
  </si>
  <si>
    <t>1. refreshToken.revoked = true
2. token.expiresAt = "2026-08-11T10:00:00"
3. Database transaction management is enabled</t>
  </si>
  <si>
    <t>IT03-001</t>
  </si>
  <si>
    <t>Complete customer profile and insurance lookup</t>
  </si>
  <si>
    <t>1. Prepare fullName = "John Carter"; phone = "0944433222"; insuranceCode = "BH1234567890123"
2. Send PUT /api/v1/profiles/me
3. Query the related database records</t>
  </si>
  <si>
    <t>1. HTTP status = 200 or 201
2. Customer Profile records are created or updated once
3. Response IDs match the stored records</t>
  </si>
  <si>
    <t>Flow IT03</t>
  </si>
  <si>
    <t>IT03-002</t>
  </si>
  <si>
    <t>1. Complete case IT03-001
2. Call the corresponding GET endpoint
3. Compare response data with the database</t>
  </si>
  <si>
    <t>1. IT03-001 completed successfully
2. Bearer access token is valid</t>
  </si>
  <si>
    <t>IT03-003</t>
  </si>
  <si>
    <t>1. Prepare phone = "123"
2. Send PUT /api/v1/profiles/me
3. Check response and database</t>
  </si>
  <si>
    <t>IT03-004</t>
  </si>
  <si>
    <t>IT03-005</t>
  </si>
  <si>
    <t>1. Prepare profile.accountId = "ACC-2002"
2. Send PUT /api/v1/profiles/me
3. Check all participating entities</t>
  </si>
  <si>
    <t>1. profile.accountId = "ACC-2002"
2. Authentication context satisfies the endpoint requirement</t>
  </si>
  <si>
    <t>IT03-006</t>
  </si>
  <si>
    <t>1. Prepare email = "john.carter@example.com" already exists
2. Prepare BHXH service = timeout
3. Send PUT /api/v1/profiles/me
4. Check transaction rollback and record counts</t>
  </si>
  <si>
    <t>1. email = "john.carter@example.com" already exists
2. BHXH service = timeout
3. Database transaction management is enabled</t>
  </si>
  <si>
    <t>IT04-001</t>
  </si>
  <si>
    <t>Complete appointment booking and check-in</t>
  </si>
  <si>
    <t>1. Prepare customerId = "CUS-1001"; serviceId = "SRV-GENERAL-01"; scheduledAt = "2026-08-13T09:00:00"
2. Send POST /api/v1/appointments
3. Query the related database records</t>
  </si>
  <si>
    <t>1. HTTP status = 200 or 201
2. Appointment and CustomerVisit records are created or updated once
3. Response IDs match the stored records</t>
  </si>
  <si>
    <t>1. Database and Redis are available
2. systemRole = "RECEPTIONIST"
3. Referenced records exist</t>
  </si>
  <si>
    <t>Flow IT04</t>
  </si>
  <si>
    <t>IT04-002</t>
  </si>
  <si>
    <t>1. Complete case IT04-001
2. Call the corresponding GET endpoint
3. Compare response data with the database</t>
  </si>
  <si>
    <t>1. IT04-001 completed successfully
2. Bearer access token is valid</t>
  </si>
  <si>
    <t>IT04-003</t>
  </si>
  <si>
    <t>1. Prepare serviceId = "SRV-UNKNOWN"
2. Send POST /api/v1/appointments
3. Check response and database</t>
  </si>
  <si>
    <t>IT04-004</t>
  </si>
  <si>
    <t>1. Set Authorization = null
2. Send POST /api/v1/appointments
3. Check response and business records</t>
  </si>
  <si>
    <t>IT04-005</t>
  </si>
  <si>
    <t>1. Prepare appointment.status = "CANCELLED"
2. Send POST /api/v1/appointments
3. Check all participating entities</t>
  </si>
  <si>
    <t>1. appointment.status = "CANCELLED"
2. Authentication context satisfies the endpoint requirement</t>
  </si>
  <si>
    <t>IT04-006</t>
  </si>
  <si>
    <t>1. Prepare same customer and scheduledAt count = 1
2. Prepare availableSlot.count = 0
3. Send POST /api/v1/appointments
4. Check transaction rollback and record counts</t>
  </si>
  <si>
    <t>1. same customer and scheduledAt count = 1
2. availableSlot.count = 0
3. Database transaction management is enabled</t>
  </si>
  <si>
    <t>IT05-001</t>
  </si>
  <si>
    <t>Complete invoice payment and queue creation</t>
  </si>
  <si>
    <t>1. Prepare invoiceId = "INV-1001"; amount = 500000; paymentMethod = "CASH"
2. Send POST /api/v1/invoices/INV-1001/pay
3. Query the related database records</t>
  </si>
  <si>
    <t>1. HTTP status = 200 or 201
2. Transaction and QueueTicket records are created or updated once
3. Response IDs match the stored records</t>
  </si>
  <si>
    <t>Flow IT05</t>
  </si>
  <si>
    <t>IT05-002</t>
  </si>
  <si>
    <t>1. Complete case IT05-001
2. Call the corresponding GET endpoint
3. Compare response data with the database</t>
  </si>
  <si>
    <t>1. IT05-001 completed successfully
2. Bearer access token is valid</t>
  </si>
  <si>
    <t>IT05-003</t>
  </si>
  <si>
    <t>1. Prepare amount = 499999
2. Send POST /api/v1/invoices/INV-1001/pay
3. Check response and database</t>
  </si>
  <si>
    <t>IT05-004</t>
  </si>
  <si>
    <t>1. Set Authorization = null
2. Send POST /api/v1/invoices/INV-1001/pay
3. Check response and business records</t>
  </si>
  <si>
    <t>IT05-005</t>
  </si>
  <si>
    <t>1. Prepare invoice.status = "PAID"
2. Send POST /api/v1/invoices/INV-1001/pay
3. Check all participating entities</t>
  </si>
  <si>
    <t>1. invoice.status = "PAID"
2. Authentication context satisfies the endpoint requirement</t>
  </si>
  <si>
    <t>IT05-006</t>
  </si>
  <si>
    <t>1. Prepare successfulTransaction.count = 1
2. Prepare invoiceItem.count = 0
3. Send POST /api/v1/invoices/INV-1001/pay
4. Check transaction rollback and record counts</t>
  </si>
  <si>
    <t>1. successfulTransaction.count = 1
2. invoiceItem.count = 0
3. Database transaction management is enabled</t>
  </si>
  <si>
    <t>IT06-001</t>
  </si>
  <si>
    <t>Complete queue calling and examination start</t>
  </si>
  <si>
    <t>1. Prepare queueTicketId = "QUE-1001"; departmentId = "DEP-GENERAL"
2. Send POST /api/v1/queue-tickets/QUE-1001/call
3. Query the related database records</t>
  </si>
  <si>
    <t>1. HTTP status = 200 or 201
2. QueueTicket and MedicalRecord records are created or updated once
3. Response IDs match the stored records</t>
  </si>
  <si>
    <t>1. Database and Redis are available
2. systemRole = "DOCTOR"
3. Referenced records exist</t>
  </si>
  <si>
    <t>Flow IT06</t>
  </si>
  <si>
    <t>IT06-002</t>
  </si>
  <si>
    <t>1. Complete case IT06-001
2. Call the corresponding GET endpoint
3. Compare response data with the database</t>
  </si>
  <si>
    <t>1. IT06-001 completed successfully
2. Bearer access token is valid</t>
  </si>
  <si>
    <t>IT06-003</t>
  </si>
  <si>
    <t>1. Prepare queueTicketId = "QUE-9999"
2. Send POST /api/v1/queue-tickets/QUE-1001/call
3. Check response and database</t>
  </si>
  <si>
    <t>IT06-004</t>
  </si>
  <si>
    <t>1. Set Authorization = null
2. Send POST /api/v1/queue-tickets/QUE-1001/call
3. Check response and business records</t>
  </si>
  <si>
    <t>IT06-005</t>
  </si>
  <si>
    <t>1. Prepare queueTicket.status = "DONE"
2. Send POST /api/v1/queue-tickets/QUE-1001/call
3. Check all participating entities</t>
  </si>
  <si>
    <t>1. queueTicket.status = "DONE"
2. Authentication context satisfies the endpoint requirement</t>
  </si>
  <si>
    <t>IT06-006</t>
  </si>
  <si>
    <t>1. Prepare medicalRecord.count = 1
2. Prepare customerVisit.status = "COMPLETED"
3. Send POST /api/v1/queue-tickets/QUE-1001/call
4. Check transaction rollback and record counts</t>
  </si>
  <si>
    <t>1. medicalRecord.count = 1
2. customerVisit.status = "COMPLETED"
3. Database transaction management is enabled</t>
  </si>
  <si>
    <t>IT07-001</t>
  </si>
  <si>
    <t>Complete diagnosis and prescription</t>
  </si>
  <si>
    <t>1. Prepare medicalRecordId = "MR-1001"; icd10Code = "J00"; medicineId = "MED-001"; quantity = 10
2. Send PUT /api/doctor/examinations/MR-1001
3. Query the related database records</t>
  </si>
  <si>
    <t>1. HTTP status = 200 or 201
2. MedicalRecord and Prescription records are created or updated once
3. Response IDs match the stored records</t>
  </si>
  <si>
    <t>Flow IT07</t>
  </si>
  <si>
    <t>IT07-002</t>
  </si>
  <si>
    <t>1. Complete case IT07-001
2. Call the corresponding GET endpoint
3. Compare response data with the database</t>
  </si>
  <si>
    <t>1. IT07-001 completed successfully
2. Bearer access token is valid</t>
  </si>
  <si>
    <t>IT07-003</t>
  </si>
  <si>
    <t>1. Prepare icd10Code = "ZZZ"
2. Send PUT /api/doctor/examinations/MR-1001
3. Check response and database</t>
  </si>
  <si>
    <t>IT07-004</t>
  </si>
  <si>
    <t>1. Set Authorization = null
2. Send PUT /api/doctor/examinations/MR-1001
3. Check response and business records</t>
  </si>
  <si>
    <t>IT07-005</t>
  </si>
  <si>
    <t>1. Prepare medicalRecord.status = "COMPLETED"
2. Send PUT /api/doctor/examinations/MR-1001
3. Check all participating entities</t>
  </si>
  <si>
    <t>1. medicalRecord.status = "COMPLETED"
2. Authentication context satisfies the endpoint requirement</t>
  </si>
  <si>
    <t>IT07-006</t>
  </si>
  <si>
    <t>1. Prepare prescriptionItem medicineId = "MED-001" already exists
2. Prepare medicine.isActive = false
3. Send PUT /api/doctor/examinations/MR-1001
4. Check transaction rollback and record counts</t>
  </si>
  <si>
    <t>1. prescriptionItem medicineId = "MED-001" already exists
2. medicine.isActive = false
3. Database transaction management is enabled</t>
  </si>
  <si>
    <t>IT08-001</t>
  </si>
  <si>
    <t>Complete clinical test ordering</t>
  </si>
  <si>
    <t>1. Prepare medicalRecordId = "MR-1001"; serviceId = "SRV-LAB-CBC"
2. Send POST /api/v1/test-requests
3. Query the related database records</t>
  </si>
  <si>
    <t>1. HTTP status = 200 or 201
2. TestRequest and QueueTicket records are created or updated once
3. Response IDs match the stored records</t>
  </si>
  <si>
    <t>Flow IT08</t>
  </si>
  <si>
    <t>IT08-002</t>
  </si>
  <si>
    <t>1. Complete case IT08-001
2. Call the corresponding GET endpoint
3. Compare response data with the database</t>
  </si>
  <si>
    <t>1. IT08-001 completed successfully
2. Bearer access token is valid</t>
  </si>
  <si>
    <t>IT08-003</t>
  </si>
  <si>
    <t>1. Prepare serviceId = "SRV-UNKNOWN"
2. Send POST /api/v1/test-requests
3. Check response and database</t>
  </si>
  <si>
    <t>IT08-004</t>
  </si>
  <si>
    <t>1. Set Authorization = null
2. Send POST /api/v1/test-requests
3. Check response and business records</t>
  </si>
  <si>
    <t>IT08-005</t>
  </si>
  <si>
    <t>1. Prepare medicalRecord.status = "COMPLETED"
2. Send POST /api/v1/test-requests
3. Check all participating entities</t>
  </si>
  <si>
    <t>IT08-006</t>
  </si>
  <si>
    <t>1. Prepare sameServiceRequest.count = 1
2. Prepare laboratoryDepartment.status = "INACTIVE"
3. Send POST /api/v1/test-requests
4. Check transaction rollback and record counts</t>
  </si>
  <si>
    <t>1. sameServiceRequest.count = 1
2. laboratoryDepartment.status = "INACTIVE"
3. Database transaction management is enabled</t>
  </si>
  <si>
    <t>IT09-001</t>
  </si>
  <si>
    <t>Complete laboratory result completion</t>
  </si>
  <si>
    <t>1. Prepare testRequestId = "TR-1001"; conclusion = "CBC values within reference range"
2. Send POST /api/v1/test-requests/TR-1001/result/complete
3. Query the related database records</t>
  </si>
  <si>
    <t>1. HTTP status = 200 or 201
2. TestResult and QueueTicket records are created or updated once
3. Response IDs match the stored records</t>
  </si>
  <si>
    <t>1. Database and Redis are available
2. systemRole = "TECHNICIAN"
3. Referenced records exist</t>
  </si>
  <si>
    <t>Flow IT09</t>
  </si>
  <si>
    <t>IT09-002</t>
  </si>
  <si>
    <t>1. Complete case IT09-001
2. Call the corresponding GET endpoint
3. Compare response data with the database</t>
  </si>
  <si>
    <t>1. IT09-001 completed successfully
2. Bearer access token is valid</t>
  </si>
  <si>
    <t>IT09-003</t>
  </si>
  <si>
    <t>1. Prepare testRequestId = "TR-9999"
2. Send POST /api/v1/test-requests/TR-1001/result/complete
3. Check response and database</t>
  </si>
  <si>
    <t>IT09-004</t>
  </si>
  <si>
    <t>1. Set Authorization = null
2. Send POST /api/v1/test-requests/TR-1001/result/complete
3. Check response and business records</t>
  </si>
  <si>
    <t>IT09-005</t>
  </si>
  <si>
    <t>1. Prepare testRequest.status = "COMPLETED"
2. Send POST /api/v1/test-requests/TR-1001/result/complete
3. Check all participating entities</t>
  </si>
  <si>
    <t>1. testRequest.status = "COMPLETED"
2. Authentication context satisfies the endpoint requirement</t>
  </si>
  <si>
    <t>IT09-006</t>
  </si>
  <si>
    <t>1. Prepare completedResult.count = 1
2. Prepare resultFile = "cbc-result.exe"
3. Send POST /api/v1/test-requests/TR-1001/result/complete
4. Check transaction rollback and record counts</t>
  </si>
  <si>
    <t>1. completedResult.count = 1
2. resultFile = "cbc-result.exe"
3. Database transaction management is enabled</t>
  </si>
  <si>
    <t>IT10-001</t>
  </si>
  <si>
    <t>Complete examination completion and follow-up</t>
  </si>
  <si>
    <t>1. Prepare medicalRecordId = "MR-1001"; followUpDate = "2026-08-20"
2. Send POST /api/v1/medical-records/MR-1001/complete
3. Query the related database records</t>
  </si>
  <si>
    <t>1. HTTP status = 200 or 201
2. MedicalRecord, Visit, and Follow-up records are created or updated once
3. Response IDs match the stored records</t>
  </si>
  <si>
    <t>Flow IT10</t>
  </si>
  <si>
    <t>IT10-002</t>
  </si>
  <si>
    <t>1. Complete case IT10-001
2. Call the corresponding GET endpoint
3. Compare response data with the database</t>
  </si>
  <si>
    <t>1. IT10-001 completed successfully
2. Bearer access token is valid</t>
  </si>
  <si>
    <t>IT10-003</t>
  </si>
  <si>
    <t>1. Prepare followUpDate = "2026-08-10"
2. Send POST /api/v1/medical-records/MR-1001/complete
3. Check response and database</t>
  </si>
  <si>
    <t>IT10-004</t>
  </si>
  <si>
    <t>1. Set Authorization = null
2. Send POST /api/v1/medical-records/MR-1001/complete
3. Check response and business records</t>
  </si>
  <si>
    <t>IT10-005</t>
  </si>
  <si>
    <t>1. Prepare incompleteTestRequest.count = 1
2. Send POST /api/v1/medical-records/MR-1001/complete
3. Check all participating entities</t>
  </si>
  <si>
    <t>1. incompleteTestRequest.count = 1
2. Authentication context satisfies the endpoint requirement</t>
  </si>
  <si>
    <t>IT10-006</t>
  </si>
  <si>
    <t>1. Prepare medicalRecord.status = "COMPLETED"
2. Prepare customerVisit.status = "CANCELLED"
3. Send POST /api/v1/medical-records/MR-1001/complete
4. Check transaction rollback and record counts</t>
  </si>
  <si>
    <t>1. medicalRecord.status = "COMPLETED"
2. customerVisit.status = "CANCELLED"
3. Database transaction management is enabled</t>
  </si>
  <si>
    <t>IT11-001</t>
  </si>
  <si>
    <t>Complete insurance claim and patient payment</t>
  </si>
  <si>
    <t>1. Prepare insuranceCode = "BH1234567890123"; invoiceId = "INV-1001"; coveredAmount = 400000
2. Send POST /api/v1/invoices/INV-1001/insurance
3. Query the related database records</t>
  </si>
  <si>
    <t>1. HTTP status = 200 or 201
2. Invoice and Insurance Claim records are created or updated once
3. Response IDs match the stored records</t>
  </si>
  <si>
    <t>Flow IT11</t>
  </si>
  <si>
    <t>IT11-002</t>
  </si>
  <si>
    <t>1. Complete case IT11-001
2. Call the corresponding GET endpoint
3. Compare response data with the database</t>
  </si>
  <si>
    <t>1. IT11-001 completed successfully
2. Bearer access token is valid</t>
  </si>
  <si>
    <t>IT11-003</t>
  </si>
  <si>
    <t>1. Prepare insuranceCode = "BH0000000000000"
2. Send POST /api/v1/invoices/INV-1001/insurance
3. Check response and database</t>
  </si>
  <si>
    <t>IT11-004</t>
  </si>
  <si>
    <t>1. Set Authorization = null
2. Send POST /api/v1/invoices/INV-1001/insurance
3. Check response and business records</t>
  </si>
  <si>
    <t>IT11-005</t>
  </si>
  <si>
    <t>1. Prepare insurance.status = "EXPIRED"
2. Send POST /api/v1/invoices/INV-1001/insurance
3. Check all participating entities</t>
  </si>
  <si>
    <t>1. insurance.status = "EXPIRED"
2. Authentication context satisfies the endpoint requirement</t>
  </si>
  <si>
    <t>IT11-006</t>
  </si>
  <si>
    <t>1. Prepare insuranceClaim.count = 1
2. Prepare BHXH response.status = "UNAVAILABLE"
3. Send POST /api/v1/invoices/INV-1001/insurance
4. Check transaction rollback and record counts</t>
  </si>
  <si>
    <t>1. insuranceClaim.count = 1
2. BHXH response.status = "UNAVAILABLE"
3. Database transaction management is enabled</t>
  </si>
  <si>
    <t>IT12-001</t>
  </si>
  <si>
    <t>Complete staff scheduling and attendance</t>
  </si>
  <si>
    <t>1. Prepare staffId = "STF-DOC-01"; startAt = "2026-08-13T08:00:00"; endAt = "2026-08-13T12:00:00"
2. Send POST /api/v1/schedules
3. Query the related database records</t>
  </si>
  <si>
    <t>1. HTTP status = 200 or 201
2. StaffSchedule and Attendance records are created or updated once
3. Response IDs match the stored records</t>
  </si>
  <si>
    <t>1. Database and Redis are available
2. systemRole = "CLINIC_MANAGER"
3. Referenced records exist</t>
  </si>
  <si>
    <t>Flow IT12</t>
  </si>
  <si>
    <t>IT12-002</t>
  </si>
  <si>
    <t>1. Complete case IT12-001
2. Call the corresponding GET endpoint
3. Compare response data with the database</t>
  </si>
  <si>
    <t>1. IT12-001 completed successfully
2. Bearer access token is valid</t>
  </si>
  <si>
    <t>IT12-003</t>
  </si>
  <si>
    <t>1. Prepare endAt = "2026-08-13T07:00:00"
2. Send POST /api/v1/schedules
3. Check response and database</t>
  </si>
  <si>
    <t>IT12-004</t>
  </si>
  <si>
    <t>1. Set Authorization = null
2. Send POST /api/v1/schedules
3. Check response and business records</t>
  </si>
  <si>
    <t>IT12-005</t>
  </si>
  <si>
    <t>1. Prepare staff.isActive = false
2. Send POST /api/v1/schedules
3. Check all participating entities</t>
  </si>
  <si>
    <t>1. staff.isActive = false
2. Authentication context satisfies the endpoint requirement</t>
  </si>
  <si>
    <t>IT12-006</t>
  </si>
  <si>
    <t>1. Prepare overlappingSchedule.count = 1
2. Prepare capability.serviceId = "SRV-GENERAL-01" not found
3. Send POST /api/v1/schedules
4. Check transaction rollback and record counts</t>
  </si>
  <si>
    <t>1. overlappingSchedule.count = 1
2. capability.serviceId = "SRV-GENERAL-01" not found
3. Database transaction management is enabled</t>
  </si>
  <si>
    <t>IT13-001</t>
  </si>
  <si>
    <t>Complete administrative catalog management</t>
  </si>
  <si>
    <t>1. Prepare serviceCode = "SRV-CARDIO-01"; serviceName = "Cardiology Consultation"; price = 500000
2. Send POST /api/v1/medical-services
3. Query the related database records</t>
  </si>
  <si>
    <t>1. HTTP status = 200 or 201
2. MedicalService and Capability records are created or updated once
3. Response IDs match the stored records</t>
  </si>
  <si>
    <t>1. Database and Redis are available
2. systemRole = "ADMIN"
3. Referenced records exist</t>
  </si>
  <si>
    <t>Flow IT13</t>
  </si>
  <si>
    <t>IT13-002</t>
  </si>
  <si>
    <t>1. Complete case IT13-001
2. Call the corresponding GET endpoint
3. Compare response data with the database</t>
  </si>
  <si>
    <t>1. IT13-001 completed successfully
2. Bearer access token is valid</t>
  </si>
  <si>
    <t>IT13-003</t>
  </si>
  <si>
    <t>1. Prepare price = -1
2. Send POST /api/v1/medical-services
3. Check response and database</t>
  </si>
  <si>
    <t>IT13-004</t>
  </si>
  <si>
    <t>1. Set Authorization = null
2. Send POST /api/v1/medical-services
3. Check response and business records</t>
  </si>
  <si>
    <t>IT13-005</t>
  </si>
  <si>
    <t>1. Prepare department.status = "INACTIVE"
2. Send POST /api/v1/medical-services
3. Check all participating entities</t>
  </si>
  <si>
    <t>1. department.status = "INACTIVE"
2. Authentication context satisfies the endpoint requirement</t>
  </si>
  <si>
    <t>IT13-006</t>
  </si>
  <si>
    <t>1. Prepare serviceCode = "SRV-CARDIO-01" already exists
2. Prepare serviceCategoryId = "CAT-9999"
3. Send POST /api/v1/medical-services
4. Check transaction rollback and record counts</t>
  </si>
  <si>
    <t>1. serviceCode = "SRV-CARDIO-01" already exists
2. serviceCategoryId = "CAT-9999"
3. Database transaction management is enabled</t>
  </si>
  <si>
    <t>IT14-001</t>
  </si>
  <si>
    <t>Complete notification and support chat</t>
  </si>
  <si>
    <t>1. Prepare sessionId = "CHAT-1001"; message = "I need appointment support"
2. Send POST /api/v1/chat/CHAT-1001/messages/customer
3. Query the related database records</t>
  </si>
  <si>
    <t>1. HTTP status = 200 or 201
2. ChatMessage and Notification records are created or updated once
3. Response IDs match the stored records</t>
  </si>
  <si>
    <t>Flow IT14</t>
  </si>
  <si>
    <t>IT14-002</t>
  </si>
  <si>
    <t>1. Complete case IT14-001
2. Call the corresponding GET endpoint
3. Compare response data with the database</t>
  </si>
  <si>
    <t>1. IT14-001 completed successfully
2. Bearer access token is valid</t>
  </si>
  <si>
    <t>IT14-003</t>
  </si>
  <si>
    <t>1. Prepare message = ""
2. Send POST /api/v1/chat/CHAT-1001/messages/customer
3. Check response and database</t>
  </si>
  <si>
    <t>IT14-004</t>
  </si>
  <si>
    <t>1. Set Authorization = null
2. Send POST /api/v1/chat/CHAT-1001/messages/customer
3. Check response and business records</t>
  </si>
  <si>
    <t>IT14-005</t>
  </si>
  <si>
    <t>1. Prepare chatSession.status = "CLOSED"
2. Send POST /api/v1/chat/CHAT-1001/messages/customer
3. Check all participating entities</t>
  </si>
  <si>
    <t>1. chatSession.status = "CLOSED"
2. Authentication context satisfies the endpoint requirement</t>
  </si>
  <si>
    <t>IT14-006</t>
  </si>
  <si>
    <t>1. Prepare clientMessageId = "MSG-1001" already exists
2. Prepare WebSocket session = disconnected
3. Send POST /api/v1/chat/CHAT-1001/messages/customer
4. Check transaction rollback and record counts</t>
  </si>
  <si>
    <t>1. clientMessageId = "MSG-1001" already exists
2. WebSocket session = disconnected
3. Database transaction management is enabled</t>
  </si>
  <si>
    <t>IT15-001</t>
  </si>
  <si>
    <t>Complete patient journey, report, and feedback</t>
  </si>
  <si>
    <t>1. Prepare visitId = "VIS-1001"; customerId = "CUS-1001"
2. Send GET /api/v1/patient-journeys/VIS-1001
3. Query the related database records</t>
  </si>
  <si>
    <t>1. HTTP status = 200 or 201
2. PatientJourney and Report records are created or updated once
3. Response IDs match the stored records</t>
  </si>
  <si>
    <t>Flow IT15</t>
  </si>
  <si>
    <t>IT15-002</t>
  </si>
  <si>
    <t>1. Complete case IT15-001
2. Call the corresponding GET endpoint
3. Compare response data with the database</t>
  </si>
  <si>
    <t>1. IT15-001 completed successfully
2. Bearer access token is valid</t>
  </si>
  <si>
    <t>IT15-003</t>
  </si>
  <si>
    <t>1. Prepare visitId = "VIS-9999"
2. Send GET /api/v1/patient-journeys/VIS-1001
3. Check response and database</t>
  </si>
  <si>
    <t>IT15-004</t>
  </si>
  <si>
    <t>1. Set Authorization = null
2. Send GET /api/v1/patient-journeys/VIS-1001
3. Check response and business records</t>
  </si>
  <si>
    <t>IT15-005</t>
  </si>
  <si>
    <t>1. Prepare visit.customerId = "CUS-2002"
2. Send GET /api/v1/patient-journeys/VIS-1001
3. Check all participating entities</t>
  </si>
  <si>
    <t>1. visit.customerId = "CUS-2002"
2. Authentication context satisfies the endpoint requirement</t>
  </si>
  <si>
    <t>IT15-006</t>
  </si>
  <si>
    <t>1. Prepare feedback.count = 1
2. Prepare dateFrom = "2026-08-31"; dateTo = "2026-08-01"
3. Send GET /api/v1/patient-journeys/VIS-1001
4. Check transaction rollback and record counts</t>
  </si>
  <si>
    <t>1. feedback.count = 1
2. dateFrom = "2026-08-31"; dateTo = "2026-08-01"
3. Database transaction management is enabled</t>
  </si>
  <si>
    <t>Message Code</t>
  </si>
  <si>
    <t>Message</t>
  </si>
  <si>
    <t>IT01-INVALID</t>
  </si>
  <si>
    <t>The submitted request data is invalid.</t>
  </si>
  <si>
    <t>IT01-STATE</t>
  </si>
  <si>
    <t>The current business state does not allow this operation.</t>
  </si>
  <si>
    <t>IT02-INVALID</t>
  </si>
  <si>
    <t>IT02-STATE</t>
  </si>
  <si>
    <t>IT03-INVALID</t>
  </si>
  <si>
    <t>IT03-STATE</t>
  </si>
  <si>
    <t>IT04-INVALID</t>
  </si>
  <si>
    <t>IT04-STATE</t>
  </si>
  <si>
    <t>IT05-INVALID</t>
  </si>
  <si>
    <t>IT05-STATE</t>
  </si>
  <si>
    <t>IT06-INVALID</t>
  </si>
  <si>
    <t>IT06-STATE</t>
  </si>
  <si>
    <t>IT07-INVALID</t>
  </si>
  <si>
    <t>IT07-STATE</t>
  </si>
  <si>
    <t>IT08-INVALID</t>
  </si>
  <si>
    <t>IT08-STATE</t>
  </si>
  <si>
    <t>IT09-INVALID</t>
  </si>
  <si>
    <t>IT09-STATE</t>
  </si>
  <si>
    <t>IT10-INVALID</t>
  </si>
  <si>
    <t>IT10-STATE</t>
  </si>
  <si>
    <t>IT11-INVALID</t>
  </si>
  <si>
    <t>IT11-STATE</t>
  </si>
  <si>
    <t>IT12-INVALID</t>
  </si>
  <si>
    <t>IT12-STATE</t>
  </si>
  <si>
    <t>IT13-INVALID</t>
  </si>
  <si>
    <t>IT13-STATE</t>
  </si>
  <si>
    <t>IT14-INVALID</t>
  </si>
  <si>
    <t>IT14-STATE</t>
  </si>
  <si>
    <t>IT15-INVALID</t>
  </si>
  <si>
    <t>IT15-STATE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</si>
</sst>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name val="Carlito"/>
    </font>
    <font>
      <b/>
      <sz val="24"/>
      <name val="Arial"/>
    </font>
    <font>
      <sz val="11"/>
      <name val="Arial"/>
    </font>
    <font>
      <b/>
      <sz val="11"/>
      <name val="Arial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  <font>
      <b/>
      <sz val="20"/>
      <name val="Arial"/>
    </font>
    <font>
      <b/>
      <sz val="10"/>
      <color rgb="FFFFFFFF"/>
      <name val="Arial"/>
    </font>
    <font>
      <b/>
      <sz val="10"/>
      <name val="Arial"/>
    </font>
    <font>
      <b/>
      <i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76933C"/>
      </patternFill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NumberFormat="1" applyFont="1" applyFill="1" applyBorder="1"/>
    <xf numFmtId="0" fontId="2" fillId="0" borderId="1" xfId="0" applyNumberFormat="1" applyFont="1" applyFill="1" applyBorder="1" applyAlignment="1">
      <alignment wrapText="1"/>
    </xf>
    <xf numFmtId="0" fontId="3" fillId="0" borderId="1" xfId="0" applyNumberFormat="1" applyFont="1" applyFill="1" applyBorder="1" applyAlignment="1">
      <alignment wrapText="1"/>
    </xf>
    <xf numFmtId="164" fontId="2" fillId="0" borderId="1" xfId="0" applyNumberFormat="1" applyFont="1" applyFill="1" applyBorder="1" applyAlignment="1">
      <alignment wrapText="1"/>
    </xf>
    <xf numFmtId="0" fontId="5" fillId="2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wrapText="1"/>
    </xf>
    <xf numFmtId="164" fontId="6" fillId="0" borderId="1" xfId="0" applyNumberFormat="1" applyFont="1" applyFill="1" applyBorder="1" applyAlignment="1">
      <alignment wrapText="1"/>
    </xf>
    <xf numFmtId="0" fontId="3" fillId="0" borderId="1" xfId="0" applyNumberFormat="1" applyFont="1" applyFill="1" applyBorder="1"/>
    <xf numFmtId="0" fontId="8" fillId="2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vertical="top" wrapText="1"/>
    </xf>
    <xf numFmtId="0" fontId="8" fillId="2" borderId="1" xfId="0" applyNumberFormat="1" applyFont="1" applyFill="1" applyBorder="1" applyAlignment="1">
      <alignment horizontal="center"/>
    </xf>
    <xf numFmtId="9" fontId="6" fillId="0" borderId="1" xfId="0" applyNumberFormat="1" applyFont="1" applyFill="1" applyBorder="1" applyAlignment="1">
      <alignment wrapText="1"/>
    </xf>
    <xf numFmtId="0" fontId="9" fillId="0" borderId="1" xfId="0" applyNumberFormat="1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 wrapText="1"/>
    </xf>
    <xf numFmtId="0" fontId="9" fillId="4" borderId="1" xfId="0" applyNumberFormat="1" applyFont="1" applyFill="1" applyBorder="1" applyAlignment="1">
      <alignment vertical="center"/>
    </xf>
    <xf numFmtId="14" fontId="1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workbookViewId="0"/>
  </sheetViews>
  <sheetFormatPr defaultRowHeight="14.25"/>
  <cols>
    <col min="1" max="6" width="23" customWidth="1"/>
  </cols>
  <sheetData>
    <row r="2" spans="1:6" ht="60" customHeight="1">
      <c r="A2" s="18" t="s">
        <v>0</v>
      </c>
      <c r="B2" s="18"/>
      <c r="C2" s="18"/>
      <c r="D2" s="18"/>
      <c r="E2" s="18"/>
      <c r="F2" s="18"/>
    </row>
    <row r="4" spans="1:6" ht="29.25">
      <c r="A4" s="3" t="s">
        <v>1</v>
      </c>
      <c r="B4" s="2" t="s">
        <v>2</v>
      </c>
      <c r="C4" s="3" t="s">
        <v>3</v>
      </c>
      <c r="D4" s="2" t="s">
        <v>4</v>
      </c>
    </row>
    <row r="5" spans="1:6" ht="15">
      <c r="A5" s="3" t="s">
        <v>5</v>
      </c>
      <c r="B5" s="2" t="s">
        <v>6</v>
      </c>
      <c r="C5" s="3" t="s">
        <v>7</v>
      </c>
      <c r="D5" s="4">
        <v>46246</v>
      </c>
    </row>
    <row r="6" spans="1:6" ht="29.25">
      <c r="A6" s="3" t="s">
        <v>8</v>
      </c>
      <c r="B6" s="2" t="s">
        <v>9</v>
      </c>
      <c r="C6" s="3" t="s">
        <v>10</v>
      </c>
      <c r="D6" s="2" t="s">
        <v>11</v>
      </c>
    </row>
    <row r="7" spans="1:6" ht="29.25">
      <c r="A7" s="3" t="s">
        <v>12</v>
      </c>
      <c r="B7" s="2" t="s">
        <v>13</v>
      </c>
      <c r="C7" s="3" t="s">
        <v>14</v>
      </c>
      <c r="D7" s="2" t="s">
        <v>15</v>
      </c>
    </row>
    <row r="9" spans="1:6" ht="15.75">
      <c r="A9" s="19" t="s">
        <v>16</v>
      </c>
      <c r="B9" s="19"/>
      <c r="C9" s="19"/>
      <c r="D9" s="19"/>
      <c r="E9" s="19"/>
      <c r="F9" s="19"/>
    </row>
    <row r="10" spans="1:6" ht="15">
      <c r="A10" s="5" t="s">
        <v>17</v>
      </c>
      <c r="B10" s="5" t="s">
        <v>10</v>
      </c>
      <c r="C10" s="5" t="s">
        <v>18</v>
      </c>
      <c r="D10" s="5" t="s">
        <v>19</v>
      </c>
      <c r="E10" s="5" t="s">
        <v>20</v>
      </c>
      <c r="F10" s="5" t="s">
        <v>21</v>
      </c>
    </row>
    <row r="11" spans="1:6" ht="42" customHeight="1">
      <c r="A11" s="7">
        <v>46246</v>
      </c>
      <c r="B11" s="6" t="s">
        <v>11</v>
      </c>
      <c r="C11" s="6" t="s">
        <v>22</v>
      </c>
      <c r="D11" s="6" t="s">
        <v>23</v>
      </c>
      <c r="E11" s="6" t="s">
        <v>24</v>
      </c>
      <c r="F11" s="6" t="s">
        <v>25</v>
      </c>
    </row>
  </sheetData>
  <mergeCells count="2">
    <mergeCell ref="A2:F2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5"/>
  <sheetViews>
    <sheetView topLeftCell="A4" workbookViewId="0"/>
  </sheetViews>
  <sheetFormatPr defaultRowHeight="14.25"/>
  <cols>
    <col min="1" max="1" width="8" customWidth="1"/>
    <col min="2" max="2" width="30" customWidth="1"/>
    <col min="3" max="3" width="13" customWidth="1"/>
    <col min="4" max="4" width="24" customWidth="1"/>
    <col min="5" max="6" width="38" customWidth="1"/>
  </cols>
  <sheetData>
    <row r="2" spans="1:6" ht="33.950000000000003" customHeight="1">
      <c r="A2" s="20" t="s">
        <v>26</v>
      </c>
      <c r="B2" s="20"/>
      <c r="C2" s="20"/>
      <c r="D2" s="20"/>
      <c r="E2" s="20"/>
      <c r="F2" s="20"/>
    </row>
    <row r="4" spans="1:6" ht="15">
      <c r="A4" s="8" t="s">
        <v>1</v>
      </c>
      <c r="B4" s="1" t="s">
        <v>2</v>
      </c>
    </row>
    <row r="5" spans="1:6" ht="15">
      <c r="A5" s="8" t="s">
        <v>5</v>
      </c>
      <c r="B5" s="1" t="s">
        <v>6</v>
      </c>
    </row>
    <row r="6" spans="1:6" ht="15">
      <c r="A6" s="8" t="s">
        <v>27</v>
      </c>
      <c r="B6" s="1">
        <v>15</v>
      </c>
    </row>
    <row r="7" spans="1:6" ht="15">
      <c r="A7" s="8" t="s">
        <v>28</v>
      </c>
      <c r="B7" s="1">
        <v>90</v>
      </c>
    </row>
    <row r="10" spans="1:6">
      <c r="A10" s="9" t="s">
        <v>29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6" ht="38.1" customHeight="1">
      <c r="A11" s="10">
        <v>1</v>
      </c>
      <c r="B11" s="10" t="s">
        <v>35</v>
      </c>
      <c r="C11" s="10" t="s">
        <v>36</v>
      </c>
      <c r="D11" s="10" t="s">
        <v>37</v>
      </c>
      <c r="E11" s="10" t="s">
        <v>38</v>
      </c>
      <c r="F11" s="10" t="s">
        <v>39</v>
      </c>
    </row>
    <row r="12" spans="1:6" ht="38.1" customHeight="1">
      <c r="A12" s="10">
        <v>2</v>
      </c>
      <c r="B12" s="10" t="s">
        <v>40</v>
      </c>
      <c r="C12" s="10" t="s">
        <v>41</v>
      </c>
      <c r="D12" s="10" t="s">
        <v>42</v>
      </c>
      <c r="E12" s="10" t="s">
        <v>43</v>
      </c>
      <c r="F12" s="10" t="s">
        <v>39</v>
      </c>
    </row>
    <row r="13" spans="1:6" ht="38.1" customHeight="1">
      <c r="A13" s="10">
        <v>3</v>
      </c>
      <c r="B13" s="10" t="s">
        <v>44</v>
      </c>
      <c r="C13" s="10" t="s">
        <v>45</v>
      </c>
      <c r="D13" s="10" t="s">
        <v>46</v>
      </c>
      <c r="E13" s="10" t="s">
        <v>47</v>
      </c>
      <c r="F13" s="10" t="s">
        <v>39</v>
      </c>
    </row>
    <row r="14" spans="1:6" ht="38.1" customHeight="1">
      <c r="A14" s="10">
        <v>4</v>
      </c>
      <c r="B14" s="10" t="s">
        <v>48</v>
      </c>
      <c r="C14" s="10" t="s">
        <v>49</v>
      </c>
      <c r="D14" s="10" t="s">
        <v>50</v>
      </c>
      <c r="E14" s="10" t="s">
        <v>51</v>
      </c>
      <c r="F14" s="10" t="s">
        <v>39</v>
      </c>
    </row>
    <row r="15" spans="1:6" ht="38.1" customHeight="1">
      <c r="A15" s="10">
        <v>5</v>
      </c>
      <c r="B15" s="10" t="s">
        <v>52</v>
      </c>
      <c r="C15" s="10" t="s">
        <v>53</v>
      </c>
      <c r="D15" s="10" t="s">
        <v>54</v>
      </c>
      <c r="E15" s="10" t="s">
        <v>55</v>
      </c>
      <c r="F15" s="10" t="s">
        <v>39</v>
      </c>
    </row>
    <row r="16" spans="1:6" ht="38.1" customHeight="1">
      <c r="A16" s="10">
        <v>6</v>
      </c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39</v>
      </c>
    </row>
    <row r="17" spans="1:6" ht="38.1" customHeight="1">
      <c r="A17" s="10">
        <v>7</v>
      </c>
      <c r="B17" s="10" t="s">
        <v>60</v>
      </c>
      <c r="C17" s="10" t="s">
        <v>61</v>
      </c>
      <c r="D17" s="10" t="s">
        <v>62</v>
      </c>
      <c r="E17" s="10" t="s">
        <v>63</v>
      </c>
      <c r="F17" s="10" t="s">
        <v>39</v>
      </c>
    </row>
    <row r="18" spans="1:6" ht="38.1" customHeight="1">
      <c r="A18" s="10">
        <v>8</v>
      </c>
      <c r="B18" s="10" t="s">
        <v>64</v>
      </c>
      <c r="C18" s="10" t="s">
        <v>65</v>
      </c>
      <c r="D18" s="10" t="s">
        <v>66</v>
      </c>
      <c r="E18" s="10" t="s">
        <v>67</v>
      </c>
      <c r="F18" s="10" t="s">
        <v>39</v>
      </c>
    </row>
    <row r="19" spans="1:6" ht="38.1" customHeight="1">
      <c r="A19" s="10">
        <v>9</v>
      </c>
      <c r="B19" s="10" t="s">
        <v>68</v>
      </c>
      <c r="C19" s="10" t="s">
        <v>69</v>
      </c>
      <c r="D19" s="10" t="s">
        <v>70</v>
      </c>
      <c r="E19" s="10" t="s">
        <v>71</v>
      </c>
      <c r="F19" s="10" t="s">
        <v>39</v>
      </c>
    </row>
    <row r="20" spans="1:6" ht="38.1" customHeight="1">
      <c r="A20" s="10">
        <v>10</v>
      </c>
      <c r="B20" s="10" t="s">
        <v>72</v>
      </c>
      <c r="C20" s="10" t="s">
        <v>73</v>
      </c>
      <c r="D20" s="10" t="s">
        <v>74</v>
      </c>
      <c r="E20" s="10" t="s">
        <v>75</v>
      </c>
      <c r="F20" s="10" t="s">
        <v>39</v>
      </c>
    </row>
    <row r="21" spans="1:6" ht="38.1" customHeight="1">
      <c r="A21" s="10">
        <v>11</v>
      </c>
      <c r="B21" s="10" t="s">
        <v>76</v>
      </c>
      <c r="C21" s="10" t="s">
        <v>77</v>
      </c>
      <c r="D21" s="10" t="s">
        <v>78</v>
      </c>
      <c r="E21" s="10" t="s">
        <v>79</v>
      </c>
      <c r="F21" s="10" t="s">
        <v>39</v>
      </c>
    </row>
    <row r="22" spans="1:6" ht="38.1" customHeight="1">
      <c r="A22" s="10">
        <v>12</v>
      </c>
      <c r="B22" s="10" t="s">
        <v>80</v>
      </c>
      <c r="C22" s="10" t="s">
        <v>81</v>
      </c>
      <c r="D22" s="10" t="s">
        <v>82</v>
      </c>
      <c r="E22" s="10" t="s">
        <v>83</v>
      </c>
      <c r="F22" s="10" t="s">
        <v>39</v>
      </c>
    </row>
    <row r="23" spans="1:6" ht="38.1" customHeight="1">
      <c r="A23" s="10">
        <v>13</v>
      </c>
      <c r="B23" s="10" t="s">
        <v>84</v>
      </c>
      <c r="C23" s="10" t="s">
        <v>85</v>
      </c>
      <c r="D23" s="10" t="s">
        <v>86</v>
      </c>
      <c r="E23" s="10" t="s">
        <v>87</v>
      </c>
      <c r="F23" s="10" t="s">
        <v>39</v>
      </c>
    </row>
    <row r="24" spans="1:6" ht="38.1" customHeight="1">
      <c r="A24" s="10">
        <v>14</v>
      </c>
      <c r="B24" s="10" t="s">
        <v>88</v>
      </c>
      <c r="C24" s="10" t="s">
        <v>89</v>
      </c>
      <c r="D24" s="10" t="s">
        <v>90</v>
      </c>
      <c r="E24" s="10" t="s">
        <v>91</v>
      </c>
      <c r="F24" s="10" t="s">
        <v>39</v>
      </c>
    </row>
    <row r="25" spans="1:6" ht="38.1" customHeight="1">
      <c r="A25" s="10">
        <v>15</v>
      </c>
      <c r="B25" s="10" t="s">
        <v>92</v>
      </c>
      <c r="C25" s="10" t="s">
        <v>93</v>
      </c>
      <c r="D25" s="10" t="s">
        <v>94</v>
      </c>
      <c r="E25" s="10" t="s">
        <v>95</v>
      </c>
      <c r="F25" s="10" t="s">
        <v>39</v>
      </c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0"/>
  <sheetViews>
    <sheetView workbookViewId="0">
      <selection activeCell="E29" sqref="E29"/>
    </sheetView>
  </sheetViews>
  <sheetFormatPr defaultRowHeight="14.25"/>
  <cols>
    <col min="1" max="1" width="8" customWidth="1"/>
    <col min="2" max="2" width="42" customWidth="1"/>
    <col min="3" max="8" width="14" customWidth="1"/>
  </cols>
  <sheetData>
    <row r="2" spans="1:8" ht="33.950000000000003" customHeight="1">
      <c r="A2" s="20" t="s">
        <v>96</v>
      </c>
      <c r="B2" s="20"/>
      <c r="C2" s="20"/>
      <c r="D2" s="20"/>
      <c r="E2" s="20"/>
      <c r="F2" s="20"/>
      <c r="G2" s="20"/>
      <c r="H2" s="20"/>
    </row>
    <row r="5" spans="1:8">
      <c r="A5" s="11" t="s">
        <v>29</v>
      </c>
      <c r="B5" s="11" t="s">
        <v>97</v>
      </c>
      <c r="C5" s="11" t="s">
        <v>98</v>
      </c>
      <c r="D5" s="11" t="s">
        <v>99</v>
      </c>
      <c r="E5" s="11" t="s">
        <v>100</v>
      </c>
      <c r="F5" s="11" t="s">
        <v>101</v>
      </c>
      <c r="G5" s="11" t="s">
        <v>102</v>
      </c>
      <c r="H5" s="11" t="s">
        <v>103</v>
      </c>
    </row>
    <row r="6" spans="1:8">
      <c r="A6" s="6">
        <v>1</v>
      </c>
      <c r="B6" s="6" t="s">
        <v>104</v>
      </c>
      <c r="C6" s="6">
        <f>'IT01-RegisterOTP'!B6</f>
        <v>6</v>
      </c>
      <c r="D6" s="6">
        <f>'IT01-RegisterOTP'!C6</f>
        <v>0</v>
      </c>
      <c r="E6" s="6">
        <f>'IT01-RegisterOTP'!D6</f>
        <v>0</v>
      </c>
      <c r="F6" s="6">
        <f>'IT01-RegisterOTP'!E6</f>
        <v>0</v>
      </c>
      <c r="G6" s="6">
        <f t="shared" ref="G6:G20" si="0">SUM(C6:F6)</f>
        <v>6</v>
      </c>
      <c r="H6" s="12">
        <f t="shared" ref="H6:H20" si="1">IF(G6=0,0,(C6+D6+F6)/G6)</f>
        <v>1</v>
      </c>
    </row>
    <row r="7" spans="1:8">
      <c r="A7" s="6">
        <v>2</v>
      </c>
      <c r="B7" s="6" t="s">
        <v>105</v>
      </c>
      <c r="C7" s="6">
        <f>'IT02-LoginToken'!B6</f>
        <v>5</v>
      </c>
      <c r="D7" s="6">
        <f>'IT02-LoginToken'!C6</f>
        <v>0</v>
      </c>
      <c r="E7" s="6">
        <f>'IT02-LoginToken'!D6</f>
        <v>0</v>
      </c>
      <c r="F7" s="6">
        <f>'IT02-LoginToken'!E6</f>
        <v>1</v>
      </c>
      <c r="G7" s="6">
        <f t="shared" si="0"/>
        <v>6</v>
      </c>
      <c r="H7" s="12">
        <f t="shared" si="1"/>
        <v>1</v>
      </c>
    </row>
    <row r="8" spans="1:8">
      <c r="A8" s="6">
        <v>3</v>
      </c>
      <c r="B8" s="6" t="s">
        <v>106</v>
      </c>
      <c r="C8" s="6">
        <f>'IT03-Profile'!B6</f>
        <v>6</v>
      </c>
      <c r="D8" s="6">
        <f>'IT03-Profile'!C6</f>
        <v>0</v>
      </c>
      <c r="E8" s="6">
        <f>'IT03-Profile'!D6</f>
        <v>0</v>
      </c>
      <c r="F8" s="6">
        <f>'IT03-Profile'!E6</f>
        <v>0</v>
      </c>
      <c r="G8" s="6">
        <f t="shared" si="0"/>
        <v>6</v>
      </c>
      <c r="H8" s="12">
        <f t="shared" si="1"/>
        <v>1</v>
      </c>
    </row>
    <row r="9" spans="1:8">
      <c r="A9" s="6">
        <v>4</v>
      </c>
      <c r="B9" s="6" t="s">
        <v>107</v>
      </c>
      <c r="C9" s="6">
        <f>'IT04-Appointment'!B6</f>
        <v>5</v>
      </c>
      <c r="D9" s="6">
        <f>'IT04-Appointment'!C6</f>
        <v>0</v>
      </c>
      <c r="E9" s="6">
        <f>'IT04-Appointment'!D6</f>
        <v>0</v>
      </c>
      <c r="F9" s="6">
        <f>'IT04-Appointment'!E6</f>
        <v>1</v>
      </c>
      <c r="G9" s="6">
        <f t="shared" si="0"/>
        <v>6</v>
      </c>
      <c r="H9" s="12">
        <f t="shared" si="1"/>
        <v>1</v>
      </c>
    </row>
    <row r="10" spans="1:8">
      <c r="A10" s="6">
        <v>5</v>
      </c>
      <c r="B10" s="6" t="s">
        <v>108</v>
      </c>
      <c r="C10" s="6">
        <f>'IT05-PaymentQueue'!B6</f>
        <v>6</v>
      </c>
      <c r="D10" s="6">
        <f>'IT05-PaymentQueue'!C6</f>
        <v>0</v>
      </c>
      <c r="E10" s="6">
        <f>'IT05-PaymentQueue'!D6</f>
        <v>0</v>
      </c>
      <c r="F10" s="6">
        <f>'IT05-PaymentQueue'!E6</f>
        <v>0</v>
      </c>
      <c r="G10" s="6">
        <f t="shared" si="0"/>
        <v>6</v>
      </c>
      <c r="H10" s="12">
        <f t="shared" si="1"/>
        <v>1</v>
      </c>
    </row>
    <row r="11" spans="1:8">
      <c r="A11" s="6">
        <v>6</v>
      </c>
      <c r="B11" s="6" t="s">
        <v>109</v>
      </c>
      <c r="C11" s="6">
        <f>'IT06-QueueExam'!B6</f>
        <v>6</v>
      </c>
      <c r="D11" s="6">
        <f>'IT06-QueueExam'!C6</f>
        <v>0</v>
      </c>
      <c r="E11" s="6">
        <f>'IT06-QueueExam'!D6</f>
        <v>0</v>
      </c>
      <c r="F11" s="6">
        <f>'IT06-QueueExam'!E6</f>
        <v>0</v>
      </c>
      <c r="G11" s="6">
        <f t="shared" si="0"/>
        <v>6</v>
      </c>
      <c r="H11" s="12">
        <f t="shared" si="1"/>
        <v>1</v>
      </c>
    </row>
    <row r="12" spans="1:8">
      <c r="A12" s="6">
        <v>7</v>
      </c>
      <c r="B12" s="6" t="s">
        <v>110</v>
      </c>
      <c r="C12" s="6">
        <f>'IT07-Examination'!B6</f>
        <v>6</v>
      </c>
      <c r="D12" s="6">
        <f>'IT07-Examination'!C6</f>
        <v>0</v>
      </c>
      <c r="E12" s="6">
        <f>'IT07-Examination'!D6</f>
        <v>0</v>
      </c>
      <c r="F12" s="6">
        <f>'IT07-Examination'!E6</f>
        <v>0</v>
      </c>
      <c r="G12" s="6">
        <f t="shared" si="0"/>
        <v>6</v>
      </c>
      <c r="H12" s="12">
        <f t="shared" si="1"/>
        <v>1</v>
      </c>
    </row>
    <row r="13" spans="1:8">
      <c r="A13" s="6">
        <v>8</v>
      </c>
      <c r="B13" s="6" t="s">
        <v>111</v>
      </c>
      <c r="C13" s="6">
        <f>'IT08-TestOrder'!B6</f>
        <v>6</v>
      </c>
      <c r="D13" s="6">
        <f>'IT08-TestOrder'!C6</f>
        <v>0</v>
      </c>
      <c r="E13" s="6">
        <f>'IT08-TestOrder'!D6</f>
        <v>0</v>
      </c>
      <c r="F13" s="6">
        <f>'IT08-TestOrder'!E6</f>
        <v>0</v>
      </c>
      <c r="G13" s="6">
        <f t="shared" si="0"/>
        <v>6</v>
      </c>
      <c r="H13" s="12">
        <f t="shared" si="1"/>
        <v>1</v>
      </c>
    </row>
    <row r="14" spans="1:8">
      <c r="A14" s="6">
        <v>9</v>
      </c>
      <c r="B14" s="6" t="s">
        <v>112</v>
      </c>
      <c r="C14" s="6">
        <f>'IT09-LabResult'!B6</f>
        <v>6</v>
      </c>
      <c r="D14" s="6">
        <f>'IT09-LabResult'!C6</f>
        <v>0</v>
      </c>
      <c r="E14" s="6">
        <f>'IT09-LabResult'!D6</f>
        <v>0</v>
      </c>
      <c r="F14" s="6">
        <f>'IT09-LabResult'!E6</f>
        <v>0</v>
      </c>
      <c r="G14" s="6">
        <f t="shared" si="0"/>
        <v>6</v>
      </c>
      <c r="H14" s="12">
        <f t="shared" si="1"/>
        <v>1</v>
      </c>
    </row>
    <row r="15" spans="1:8">
      <c r="A15" s="6">
        <v>10</v>
      </c>
      <c r="B15" s="6" t="s">
        <v>113</v>
      </c>
      <c r="C15" s="6">
        <f>'IT10-CompleteFollowup'!B6</f>
        <v>6</v>
      </c>
      <c r="D15" s="6">
        <f>'IT10-CompleteFollowup'!C6</f>
        <v>0</v>
      </c>
      <c r="E15" s="6">
        <f>'IT10-CompleteFollowup'!D6</f>
        <v>0</v>
      </c>
      <c r="F15" s="6">
        <f>'IT10-CompleteFollowup'!E6</f>
        <v>0</v>
      </c>
      <c r="G15" s="6">
        <f t="shared" si="0"/>
        <v>6</v>
      </c>
      <c r="H15" s="12">
        <f t="shared" si="1"/>
        <v>1</v>
      </c>
    </row>
    <row r="16" spans="1:8">
      <c r="A16" s="6">
        <v>11</v>
      </c>
      <c r="B16" s="6" t="s">
        <v>114</v>
      </c>
      <c r="C16" s="6">
        <f>'IT11-InsuranceTxn'!B6</f>
        <v>6</v>
      </c>
      <c r="D16" s="6">
        <f>'IT11-InsuranceTxn'!C6</f>
        <v>0</v>
      </c>
      <c r="E16" s="6">
        <f>'IT11-InsuranceTxn'!D6</f>
        <v>0</v>
      </c>
      <c r="F16" s="6">
        <f>'IT11-InsuranceTxn'!E6</f>
        <v>0</v>
      </c>
      <c r="G16" s="6">
        <f t="shared" si="0"/>
        <v>6</v>
      </c>
      <c r="H16" s="12">
        <f t="shared" si="1"/>
        <v>1</v>
      </c>
    </row>
    <row r="17" spans="1:8">
      <c r="A17" s="6">
        <v>12</v>
      </c>
      <c r="B17" s="6" t="s">
        <v>115</v>
      </c>
      <c r="C17" s="6">
        <f>'IT12-StaffSchedule'!B6</f>
        <v>6</v>
      </c>
      <c r="D17" s="6">
        <f>'IT12-StaffSchedule'!C6</f>
        <v>0</v>
      </c>
      <c r="E17" s="6">
        <f>'IT12-StaffSchedule'!D6</f>
        <v>0</v>
      </c>
      <c r="F17" s="6">
        <f>'IT12-StaffSchedule'!E6</f>
        <v>0</v>
      </c>
      <c r="G17" s="6">
        <f t="shared" si="0"/>
        <v>6</v>
      </c>
      <c r="H17" s="12">
        <f t="shared" si="1"/>
        <v>1</v>
      </c>
    </row>
    <row r="18" spans="1:8">
      <c r="A18" s="6">
        <v>13</v>
      </c>
      <c r="B18" s="6" t="s">
        <v>116</v>
      </c>
      <c r="C18" s="6">
        <f>'IT13-AdminCatalog'!B6</f>
        <v>6</v>
      </c>
      <c r="D18" s="6">
        <f>'IT13-AdminCatalog'!C6</f>
        <v>0</v>
      </c>
      <c r="E18" s="6">
        <f>'IT13-AdminCatalog'!D6</f>
        <v>0</v>
      </c>
      <c r="F18" s="6">
        <f>'IT13-AdminCatalog'!E6</f>
        <v>0</v>
      </c>
      <c r="G18" s="6">
        <f t="shared" si="0"/>
        <v>6</v>
      </c>
      <c r="H18" s="12">
        <f t="shared" si="1"/>
        <v>1</v>
      </c>
    </row>
    <row r="19" spans="1:8">
      <c r="A19" s="6">
        <v>14</v>
      </c>
      <c r="B19" s="6" t="s">
        <v>117</v>
      </c>
      <c r="C19" s="6">
        <f>'IT14-NotifyChat'!B6</f>
        <v>6</v>
      </c>
      <c r="D19" s="6">
        <f>'IT14-NotifyChat'!C6</f>
        <v>0</v>
      </c>
      <c r="E19" s="6">
        <f>'IT14-NotifyChat'!D6</f>
        <v>0</v>
      </c>
      <c r="F19" s="6">
        <f>'IT14-NotifyChat'!E6</f>
        <v>0</v>
      </c>
      <c r="G19" s="6">
        <f t="shared" si="0"/>
        <v>6</v>
      </c>
      <c r="H19" s="12">
        <f t="shared" si="1"/>
        <v>1</v>
      </c>
    </row>
    <row r="20" spans="1:8">
      <c r="A20" s="6">
        <v>15</v>
      </c>
      <c r="B20" s="6" t="s">
        <v>118</v>
      </c>
      <c r="C20" s="6">
        <f>'IT15-JourneyReport'!B6</f>
        <v>0</v>
      </c>
      <c r="D20" s="6">
        <f>'IT15-JourneyReport'!C6</f>
        <v>0</v>
      </c>
      <c r="E20" s="6">
        <f>'IT15-JourneyReport'!D6</f>
        <v>6</v>
      </c>
      <c r="F20" s="6">
        <f>'IT15-JourneyReport'!E6</f>
        <v>0</v>
      </c>
      <c r="G20" s="6">
        <f t="shared" si="0"/>
        <v>6</v>
      </c>
      <c r="H20" s="12">
        <f t="shared" si="1"/>
        <v>0</v>
      </c>
    </row>
  </sheetData>
  <mergeCells count="1"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9"/>
  <sheetViews>
    <sheetView topLeftCell="A4" workbookViewId="0">
      <selection activeCell="G13" sqref="G13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104</v>
      </c>
      <c r="C2" s="21"/>
      <c r="D2" s="21"/>
      <c r="E2" s="21"/>
    </row>
    <row r="3" spans="1:15">
      <c r="A3" s="13" t="s">
        <v>120</v>
      </c>
      <c r="B3" s="21" t="s">
        <v>38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135</v>
      </c>
      <c r="B12" s="17" t="s">
        <v>136</v>
      </c>
      <c r="C12" s="17" t="s">
        <v>137</v>
      </c>
      <c r="D12" s="17" t="s">
        <v>138</v>
      </c>
      <c r="E12" s="17" t="s">
        <v>139</v>
      </c>
      <c r="F12" s="17" t="s">
        <v>98</v>
      </c>
      <c r="G12" s="23">
        <v>46246</v>
      </c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140</v>
      </c>
    </row>
    <row r="13" spans="1:15" ht="86.1" customHeight="1">
      <c r="A13" s="17" t="s">
        <v>141</v>
      </c>
      <c r="B13" s="17" t="s">
        <v>142</v>
      </c>
      <c r="C13" s="17" t="s">
        <v>143</v>
      </c>
      <c r="D13" s="17" t="s">
        <v>144</v>
      </c>
      <c r="E13" s="17" t="s">
        <v>145</v>
      </c>
      <c r="F13" s="17" t="s">
        <v>98</v>
      </c>
      <c r="G13" s="23">
        <v>46246</v>
      </c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140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147</v>
      </c>
      <c r="B15" s="17" t="s">
        <v>148</v>
      </c>
      <c r="C15" s="17" t="s">
        <v>149</v>
      </c>
      <c r="D15" s="17" t="s">
        <v>150</v>
      </c>
      <c r="E15" s="17" t="s">
        <v>151</v>
      </c>
      <c r="F15" s="17" t="s">
        <v>98</v>
      </c>
      <c r="G15" s="23">
        <v>46246</v>
      </c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140</v>
      </c>
    </row>
    <row r="16" spans="1:15" ht="86.1" customHeight="1">
      <c r="A16" s="17" t="s">
        <v>152</v>
      </c>
      <c r="B16" s="17" t="s">
        <v>153</v>
      </c>
      <c r="C16" s="17" t="s">
        <v>154</v>
      </c>
      <c r="D16" s="17" t="s">
        <v>155</v>
      </c>
      <c r="E16" s="17" t="s">
        <v>156</v>
      </c>
      <c r="F16" s="17" t="s">
        <v>98</v>
      </c>
      <c r="G16" s="23">
        <v>46246</v>
      </c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140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158</v>
      </c>
      <c r="B18" s="17" t="s">
        <v>159</v>
      </c>
      <c r="C18" s="17" t="s">
        <v>160</v>
      </c>
      <c r="D18" s="17" t="s">
        <v>161</v>
      </c>
      <c r="E18" s="17" t="s">
        <v>162</v>
      </c>
      <c r="F18" s="17" t="s">
        <v>98</v>
      </c>
      <c r="G18" s="23">
        <v>46246</v>
      </c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140</v>
      </c>
    </row>
    <row r="19" spans="1:15" ht="86.1" customHeight="1">
      <c r="A19" s="17" t="s">
        <v>163</v>
      </c>
      <c r="B19" s="17" t="s">
        <v>164</v>
      </c>
      <c r="C19" s="17" t="s">
        <v>165</v>
      </c>
      <c r="D19" s="17" t="s">
        <v>166</v>
      </c>
      <c r="E19" s="17" t="s">
        <v>167</v>
      </c>
      <c r="F19" s="17" t="s">
        <v>98</v>
      </c>
      <c r="G19" s="23">
        <v>46246</v>
      </c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140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300-000000000000}">
      <formula1>"Pending,Passed,Failed,N/A"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9"/>
  <sheetViews>
    <sheetView topLeftCell="A13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105</v>
      </c>
      <c r="C2" s="21"/>
      <c r="D2" s="21"/>
      <c r="E2" s="21"/>
    </row>
    <row r="3" spans="1:15">
      <c r="A3" s="13" t="s">
        <v>120</v>
      </c>
      <c r="B3" s="21" t="s">
        <v>43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5</v>
      </c>
      <c r="C6" s="15">
        <f>COUNTIF(F12:F19,"Failed")</f>
        <v>0</v>
      </c>
      <c r="D6" s="15">
        <f>COUNTIF(F12:F19,"Pending")</f>
        <v>0</v>
      </c>
      <c r="E6" s="15">
        <f>COUNTIF(F12:F19,"N/A")</f>
        <v>1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168</v>
      </c>
      <c r="B12" s="17" t="s">
        <v>169</v>
      </c>
      <c r="C12" s="17" t="s">
        <v>170</v>
      </c>
      <c r="D12" s="17" t="s">
        <v>171</v>
      </c>
      <c r="E12" s="17" t="s">
        <v>139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172</v>
      </c>
    </row>
    <row r="13" spans="1:15" ht="86.1" customHeight="1">
      <c r="A13" s="17" t="s">
        <v>173</v>
      </c>
      <c r="B13" s="17" t="s">
        <v>142</v>
      </c>
      <c r="C13" s="17" t="s">
        <v>174</v>
      </c>
      <c r="D13" s="17" t="s">
        <v>144</v>
      </c>
      <c r="E13" s="17" t="s">
        <v>175</v>
      </c>
      <c r="F13" s="17" t="s">
        <v>101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172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176</v>
      </c>
      <c r="B15" s="17" t="s">
        <v>148</v>
      </c>
      <c r="C15" s="17" t="s">
        <v>177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172</v>
      </c>
    </row>
    <row r="16" spans="1:15" ht="86.1" customHeight="1">
      <c r="A16" s="17" t="s">
        <v>178</v>
      </c>
      <c r="B16" s="17" t="s">
        <v>153</v>
      </c>
      <c r="C16" s="17" t="s">
        <v>154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172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179</v>
      </c>
      <c r="B18" s="17" t="s">
        <v>159</v>
      </c>
      <c r="C18" s="17" t="s">
        <v>180</v>
      </c>
      <c r="D18" s="17" t="s">
        <v>161</v>
      </c>
      <c r="E18" s="17" t="s">
        <v>181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172</v>
      </c>
    </row>
    <row r="19" spans="1:15" ht="86.1" customHeight="1">
      <c r="A19" s="17" t="s">
        <v>182</v>
      </c>
      <c r="B19" s="17" t="s">
        <v>164</v>
      </c>
      <c r="C19" s="17" t="s">
        <v>183</v>
      </c>
      <c r="D19" s="17" t="s">
        <v>166</v>
      </c>
      <c r="E19" s="17" t="s">
        <v>184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172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400-000000000000}">
      <formula1>"Pending,Passed,Failed,N/A"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9"/>
  <sheetViews>
    <sheetView topLeftCell="A10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106</v>
      </c>
      <c r="C2" s="21"/>
      <c r="D2" s="21"/>
      <c r="E2" s="21"/>
    </row>
    <row r="3" spans="1:15">
      <c r="A3" s="13" t="s">
        <v>120</v>
      </c>
      <c r="B3" s="21" t="s">
        <v>47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185</v>
      </c>
      <c r="B12" s="17" t="s">
        <v>186</v>
      </c>
      <c r="C12" s="17" t="s">
        <v>187</v>
      </c>
      <c r="D12" s="17" t="s">
        <v>188</v>
      </c>
      <c r="E12" s="17" t="s">
        <v>139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189</v>
      </c>
    </row>
    <row r="13" spans="1:15" ht="86.1" customHeight="1">
      <c r="A13" s="17" t="s">
        <v>190</v>
      </c>
      <c r="B13" s="17" t="s">
        <v>142</v>
      </c>
      <c r="C13" s="17" t="s">
        <v>191</v>
      </c>
      <c r="D13" s="17" t="s">
        <v>144</v>
      </c>
      <c r="E13" s="17" t="s">
        <v>192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189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193</v>
      </c>
      <c r="B15" s="17" t="s">
        <v>148</v>
      </c>
      <c r="C15" s="17" t="s">
        <v>194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189</v>
      </c>
    </row>
    <row r="16" spans="1:15" ht="86.1" customHeight="1">
      <c r="A16" s="17" t="s">
        <v>195</v>
      </c>
      <c r="B16" s="17" t="s">
        <v>153</v>
      </c>
      <c r="C16" s="17" t="s">
        <v>154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189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196</v>
      </c>
      <c r="B18" s="17" t="s">
        <v>159</v>
      </c>
      <c r="C18" s="17" t="s">
        <v>197</v>
      </c>
      <c r="D18" s="17" t="s">
        <v>161</v>
      </c>
      <c r="E18" s="17" t="s">
        <v>198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189</v>
      </c>
    </row>
    <row r="19" spans="1:15" ht="86.1" customHeight="1">
      <c r="A19" s="17" t="s">
        <v>199</v>
      </c>
      <c r="B19" s="17" t="s">
        <v>164</v>
      </c>
      <c r="C19" s="17" t="s">
        <v>200</v>
      </c>
      <c r="D19" s="17" t="s">
        <v>166</v>
      </c>
      <c r="E19" s="17" t="s">
        <v>201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189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500-000000000000}">
      <formula1>"Pending,Passed,Failed,N/A"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9"/>
  <sheetViews>
    <sheetView topLeftCell="A10" workbookViewId="0">
      <selection activeCell="F18" sqref="F18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107</v>
      </c>
      <c r="C2" s="21"/>
      <c r="D2" s="21"/>
      <c r="E2" s="21"/>
    </row>
    <row r="3" spans="1:15">
      <c r="A3" s="13" t="s">
        <v>120</v>
      </c>
      <c r="B3" s="21" t="s">
        <v>51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5</v>
      </c>
      <c r="C6" s="15">
        <f>COUNTIF(F12:F19,"Failed")</f>
        <v>0</v>
      </c>
      <c r="D6" s="15">
        <f>COUNTIF(F12:F19,"Pending")</f>
        <v>0</v>
      </c>
      <c r="E6" s="15">
        <f>COUNTIF(F12:F19,"N/A")</f>
        <v>1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202</v>
      </c>
      <c r="B12" s="17" t="s">
        <v>203</v>
      </c>
      <c r="C12" s="17" t="s">
        <v>204</v>
      </c>
      <c r="D12" s="17" t="s">
        <v>205</v>
      </c>
      <c r="E12" s="17" t="s">
        <v>206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207</v>
      </c>
    </row>
    <row r="13" spans="1:15" ht="86.1" customHeight="1">
      <c r="A13" s="17" t="s">
        <v>208</v>
      </c>
      <c r="B13" s="17" t="s">
        <v>142</v>
      </c>
      <c r="C13" s="17" t="s">
        <v>209</v>
      </c>
      <c r="D13" s="17" t="s">
        <v>144</v>
      </c>
      <c r="E13" s="17" t="s">
        <v>210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207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211</v>
      </c>
      <c r="B15" s="17" t="s">
        <v>148</v>
      </c>
      <c r="C15" s="17" t="s">
        <v>212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207</v>
      </c>
    </row>
    <row r="16" spans="1:15" ht="86.1" customHeight="1">
      <c r="A16" s="17" t="s">
        <v>213</v>
      </c>
      <c r="B16" s="17" t="s">
        <v>153</v>
      </c>
      <c r="C16" s="17" t="s">
        <v>214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207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215</v>
      </c>
      <c r="B18" s="17" t="s">
        <v>159</v>
      </c>
      <c r="C18" s="17" t="s">
        <v>216</v>
      </c>
      <c r="D18" s="17" t="s">
        <v>161</v>
      </c>
      <c r="E18" s="17" t="s">
        <v>217</v>
      </c>
      <c r="F18" s="17" t="s">
        <v>101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207</v>
      </c>
    </row>
    <row r="19" spans="1:15" ht="86.1" customHeight="1">
      <c r="A19" s="17" t="s">
        <v>218</v>
      </c>
      <c r="B19" s="17" t="s">
        <v>164</v>
      </c>
      <c r="C19" s="17" t="s">
        <v>219</v>
      </c>
      <c r="D19" s="17" t="s">
        <v>166</v>
      </c>
      <c r="E19" s="17" t="s">
        <v>220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207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600-000000000000}">
      <formula1>"Pending,Passed,Failed,N/A"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9"/>
  <sheetViews>
    <sheetView topLeftCell="A13" workbookViewId="0">
      <selection activeCell="E19" sqref="E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108</v>
      </c>
      <c r="C2" s="21"/>
      <c r="D2" s="21"/>
      <c r="E2" s="21"/>
    </row>
    <row r="3" spans="1:15">
      <c r="A3" s="13" t="s">
        <v>120</v>
      </c>
      <c r="B3" s="21" t="s">
        <v>55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221</v>
      </c>
      <c r="B12" s="17" t="s">
        <v>222</v>
      </c>
      <c r="C12" s="17" t="s">
        <v>223</v>
      </c>
      <c r="D12" s="17" t="s">
        <v>224</v>
      </c>
      <c r="E12" s="17" t="s">
        <v>206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225</v>
      </c>
    </row>
    <row r="13" spans="1:15" ht="86.1" customHeight="1">
      <c r="A13" s="17" t="s">
        <v>226</v>
      </c>
      <c r="B13" s="17" t="s">
        <v>142</v>
      </c>
      <c r="C13" s="17" t="s">
        <v>227</v>
      </c>
      <c r="D13" s="17" t="s">
        <v>144</v>
      </c>
      <c r="E13" s="17" t="s">
        <v>228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225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229</v>
      </c>
      <c r="B15" s="17" t="s">
        <v>148</v>
      </c>
      <c r="C15" s="17" t="s">
        <v>230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225</v>
      </c>
    </row>
    <row r="16" spans="1:15" ht="86.1" customHeight="1">
      <c r="A16" s="17" t="s">
        <v>231</v>
      </c>
      <c r="B16" s="17" t="s">
        <v>153</v>
      </c>
      <c r="C16" s="17" t="s">
        <v>232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225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233</v>
      </c>
      <c r="B18" s="17" t="s">
        <v>159</v>
      </c>
      <c r="C18" s="17" t="s">
        <v>234</v>
      </c>
      <c r="D18" s="17" t="s">
        <v>161</v>
      </c>
      <c r="E18" s="17" t="s">
        <v>235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225</v>
      </c>
    </row>
    <row r="19" spans="1:15" ht="86.1" customHeight="1">
      <c r="A19" s="17" t="s">
        <v>236</v>
      </c>
      <c r="B19" s="17" t="s">
        <v>164</v>
      </c>
      <c r="C19" s="17" t="s">
        <v>237</v>
      </c>
      <c r="D19" s="17" t="s">
        <v>166</v>
      </c>
      <c r="E19" s="17" t="s">
        <v>238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225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700-000000000000}">
      <formula1>"Pending,Passed,Failed,N/A"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9"/>
  <sheetViews>
    <sheetView workbookViewId="0">
      <selection activeCell="F16" sqref="F16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109</v>
      </c>
      <c r="C2" s="21"/>
      <c r="D2" s="21"/>
      <c r="E2" s="21"/>
    </row>
    <row r="3" spans="1:15">
      <c r="A3" s="13" t="s">
        <v>120</v>
      </c>
      <c r="B3" s="21" t="s">
        <v>59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239</v>
      </c>
      <c r="B12" s="17" t="s">
        <v>240</v>
      </c>
      <c r="C12" s="17" t="s">
        <v>241</v>
      </c>
      <c r="D12" s="17" t="s">
        <v>242</v>
      </c>
      <c r="E12" s="17" t="s">
        <v>243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244</v>
      </c>
    </row>
    <row r="13" spans="1:15" ht="86.1" customHeight="1">
      <c r="A13" s="17" t="s">
        <v>245</v>
      </c>
      <c r="B13" s="17" t="s">
        <v>142</v>
      </c>
      <c r="C13" s="17" t="s">
        <v>246</v>
      </c>
      <c r="D13" s="17" t="s">
        <v>144</v>
      </c>
      <c r="E13" s="17" t="s">
        <v>247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244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248</v>
      </c>
      <c r="B15" s="17" t="s">
        <v>148</v>
      </c>
      <c r="C15" s="17" t="s">
        <v>249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244</v>
      </c>
    </row>
    <row r="16" spans="1:15" ht="86.1" customHeight="1">
      <c r="A16" s="17" t="s">
        <v>250</v>
      </c>
      <c r="B16" s="17" t="s">
        <v>153</v>
      </c>
      <c r="C16" s="17" t="s">
        <v>251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244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252</v>
      </c>
      <c r="B18" s="17" t="s">
        <v>159</v>
      </c>
      <c r="C18" s="17" t="s">
        <v>253</v>
      </c>
      <c r="D18" s="17" t="s">
        <v>161</v>
      </c>
      <c r="E18" s="17" t="s">
        <v>254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244</v>
      </c>
    </row>
    <row r="19" spans="1:15" ht="86.1" customHeight="1">
      <c r="A19" s="17" t="s">
        <v>255</v>
      </c>
      <c r="B19" s="17" t="s">
        <v>164</v>
      </c>
      <c r="C19" s="17" t="s">
        <v>256</v>
      </c>
      <c r="D19" s="17" t="s">
        <v>166</v>
      </c>
      <c r="E19" s="17" t="s">
        <v>257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244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800-000000000000}">
      <formula1>"Pending,Passed,Failed,N/A"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9"/>
  <sheetViews>
    <sheetView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110</v>
      </c>
      <c r="C2" s="21"/>
      <c r="D2" s="21"/>
      <c r="E2" s="21"/>
    </row>
    <row r="3" spans="1:15">
      <c r="A3" s="13" t="s">
        <v>120</v>
      </c>
      <c r="B3" s="21" t="s">
        <v>63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258</v>
      </c>
      <c r="B12" s="17" t="s">
        <v>259</v>
      </c>
      <c r="C12" s="17" t="s">
        <v>260</v>
      </c>
      <c r="D12" s="17" t="s">
        <v>261</v>
      </c>
      <c r="E12" s="17" t="s">
        <v>243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262</v>
      </c>
    </row>
    <row r="13" spans="1:15" ht="86.1" customHeight="1">
      <c r="A13" s="17" t="s">
        <v>263</v>
      </c>
      <c r="B13" s="17" t="s">
        <v>142</v>
      </c>
      <c r="C13" s="17" t="s">
        <v>264</v>
      </c>
      <c r="D13" s="17" t="s">
        <v>144</v>
      </c>
      <c r="E13" s="17" t="s">
        <v>265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262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266</v>
      </c>
      <c r="B15" s="17" t="s">
        <v>148</v>
      </c>
      <c r="C15" s="17" t="s">
        <v>267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262</v>
      </c>
    </row>
    <row r="16" spans="1:15" ht="86.1" customHeight="1">
      <c r="A16" s="17" t="s">
        <v>268</v>
      </c>
      <c r="B16" s="17" t="s">
        <v>153</v>
      </c>
      <c r="C16" s="17" t="s">
        <v>269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262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270</v>
      </c>
      <c r="B18" s="17" t="s">
        <v>159</v>
      </c>
      <c r="C18" s="17" t="s">
        <v>271</v>
      </c>
      <c r="D18" s="17" t="s">
        <v>161</v>
      </c>
      <c r="E18" s="17" t="s">
        <v>272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262</v>
      </c>
    </row>
    <row r="19" spans="1:15" ht="86.1" customHeight="1">
      <c r="A19" s="17" t="s">
        <v>273</v>
      </c>
      <c r="B19" s="17" t="s">
        <v>164</v>
      </c>
      <c r="C19" s="17" t="s">
        <v>274</v>
      </c>
      <c r="D19" s="17" t="s">
        <v>166</v>
      </c>
      <c r="E19" s="17" t="s">
        <v>275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262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900-000000000000}">
      <formula1>"Pending,Passed,Failed,N/A"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9"/>
  <sheetViews>
    <sheetView topLeftCell="A16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111</v>
      </c>
      <c r="C2" s="21"/>
      <c r="D2" s="21"/>
      <c r="E2" s="21"/>
    </row>
    <row r="3" spans="1:15">
      <c r="A3" s="13" t="s">
        <v>120</v>
      </c>
      <c r="B3" s="21" t="s">
        <v>67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276</v>
      </c>
      <c r="B12" s="17" t="s">
        <v>277</v>
      </c>
      <c r="C12" s="17" t="s">
        <v>278</v>
      </c>
      <c r="D12" s="17" t="s">
        <v>279</v>
      </c>
      <c r="E12" s="17" t="s">
        <v>243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280</v>
      </c>
    </row>
    <row r="13" spans="1:15" ht="86.1" customHeight="1">
      <c r="A13" s="17" t="s">
        <v>281</v>
      </c>
      <c r="B13" s="17" t="s">
        <v>142</v>
      </c>
      <c r="C13" s="17" t="s">
        <v>282</v>
      </c>
      <c r="D13" s="17" t="s">
        <v>144</v>
      </c>
      <c r="E13" s="17" t="s">
        <v>283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280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284</v>
      </c>
      <c r="B15" s="17" t="s">
        <v>148</v>
      </c>
      <c r="C15" s="17" t="s">
        <v>285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280</v>
      </c>
    </row>
    <row r="16" spans="1:15" ht="86.1" customHeight="1">
      <c r="A16" s="17" t="s">
        <v>286</v>
      </c>
      <c r="B16" s="17" t="s">
        <v>153</v>
      </c>
      <c r="C16" s="17" t="s">
        <v>287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280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288</v>
      </c>
      <c r="B18" s="17" t="s">
        <v>159</v>
      </c>
      <c r="C18" s="17" t="s">
        <v>289</v>
      </c>
      <c r="D18" s="17" t="s">
        <v>161</v>
      </c>
      <c r="E18" s="17" t="s">
        <v>272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280</v>
      </c>
    </row>
    <row r="19" spans="1:15" ht="86.1" customHeight="1">
      <c r="A19" s="17" t="s">
        <v>290</v>
      </c>
      <c r="B19" s="17" t="s">
        <v>164</v>
      </c>
      <c r="C19" s="17" t="s">
        <v>291</v>
      </c>
      <c r="D19" s="17" t="s">
        <v>166</v>
      </c>
      <c r="E19" s="17" t="s">
        <v>292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280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A00-000000000000}">
      <formula1>"Pending,Passed,Failed,N/A"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tabSelected="1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112</v>
      </c>
      <c r="C2" s="21"/>
      <c r="D2" s="21"/>
      <c r="E2" s="21"/>
    </row>
    <row r="3" spans="1:15">
      <c r="A3" s="13" t="s">
        <v>120</v>
      </c>
      <c r="B3" s="21" t="s">
        <v>71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293</v>
      </c>
      <c r="B12" s="17" t="s">
        <v>294</v>
      </c>
      <c r="C12" s="17" t="s">
        <v>295</v>
      </c>
      <c r="D12" s="17" t="s">
        <v>296</v>
      </c>
      <c r="E12" s="17" t="s">
        <v>297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298</v>
      </c>
    </row>
    <row r="13" spans="1:15" ht="86.1" customHeight="1">
      <c r="A13" s="17" t="s">
        <v>299</v>
      </c>
      <c r="B13" s="17" t="s">
        <v>142</v>
      </c>
      <c r="C13" s="17" t="s">
        <v>300</v>
      </c>
      <c r="D13" s="17" t="s">
        <v>144</v>
      </c>
      <c r="E13" s="17" t="s">
        <v>301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298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302</v>
      </c>
      <c r="B15" s="17" t="s">
        <v>148</v>
      </c>
      <c r="C15" s="17" t="s">
        <v>303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298</v>
      </c>
    </row>
    <row r="16" spans="1:15" ht="86.1" customHeight="1">
      <c r="A16" s="17" t="s">
        <v>304</v>
      </c>
      <c r="B16" s="17" t="s">
        <v>153</v>
      </c>
      <c r="C16" s="17" t="s">
        <v>305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298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306</v>
      </c>
      <c r="B18" s="17" t="s">
        <v>159</v>
      </c>
      <c r="C18" s="17" t="s">
        <v>307</v>
      </c>
      <c r="D18" s="17" t="s">
        <v>161</v>
      </c>
      <c r="E18" s="17" t="s">
        <v>308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298</v>
      </c>
    </row>
    <row r="19" spans="1:15" ht="86.1" customHeight="1">
      <c r="A19" s="17" t="s">
        <v>309</v>
      </c>
      <c r="B19" s="17" t="s">
        <v>164</v>
      </c>
      <c r="C19" s="17" t="s">
        <v>310</v>
      </c>
      <c r="D19" s="17" t="s">
        <v>166</v>
      </c>
      <c r="E19" s="17" t="s">
        <v>311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298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B00-000000000000}">
      <formula1>"Pending,Passed,Failed,N/A"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19"/>
  <sheetViews>
    <sheetView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113</v>
      </c>
      <c r="C2" s="21"/>
      <c r="D2" s="21"/>
      <c r="E2" s="21"/>
    </row>
    <row r="3" spans="1:15">
      <c r="A3" s="13" t="s">
        <v>120</v>
      </c>
      <c r="B3" s="21" t="s">
        <v>75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312</v>
      </c>
      <c r="B12" s="17" t="s">
        <v>313</v>
      </c>
      <c r="C12" s="17" t="s">
        <v>314</v>
      </c>
      <c r="D12" s="17" t="s">
        <v>315</v>
      </c>
      <c r="E12" s="17" t="s">
        <v>243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316</v>
      </c>
    </row>
    <row r="13" spans="1:15" ht="86.1" customHeight="1">
      <c r="A13" s="17" t="s">
        <v>317</v>
      </c>
      <c r="B13" s="17" t="s">
        <v>142</v>
      </c>
      <c r="C13" s="17" t="s">
        <v>318</v>
      </c>
      <c r="D13" s="17" t="s">
        <v>144</v>
      </c>
      <c r="E13" s="17" t="s">
        <v>319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316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320</v>
      </c>
      <c r="B15" s="17" t="s">
        <v>148</v>
      </c>
      <c r="C15" s="17" t="s">
        <v>321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316</v>
      </c>
    </row>
    <row r="16" spans="1:15" ht="86.1" customHeight="1">
      <c r="A16" s="17" t="s">
        <v>322</v>
      </c>
      <c r="B16" s="17" t="s">
        <v>153</v>
      </c>
      <c r="C16" s="17" t="s">
        <v>323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316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324</v>
      </c>
      <c r="B18" s="17" t="s">
        <v>159</v>
      </c>
      <c r="C18" s="17" t="s">
        <v>325</v>
      </c>
      <c r="D18" s="17" t="s">
        <v>161</v>
      </c>
      <c r="E18" s="17" t="s">
        <v>326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316</v>
      </c>
    </row>
    <row r="19" spans="1:15" ht="86.1" customHeight="1">
      <c r="A19" s="17" t="s">
        <v>327</v>
      </c>
      <c r="B19" s="17" t="s">
        <v>164</v>
      </c>
      <c r="C19" s="17" t="s">
        <v>328</v>
      </c>
      <c r="D19" s="17" t="s">
        <v>166</v>
      </c>
      <c r="E19" s="17" t="s">
        <v>329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316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C00-000000000000}">
      <formula1>"Pending,Passed,Failed,N/A"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19"/>
  <sheetViews>
    <sheetView topLeftCell="A16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114</v>
      </c>
      <c r="C2" s="21"/>
      <c r="D2" s="21"/>
      <c r="E2" s="21"/>
    </row>
    <row r="3" spans="1:15">
      <c r="A3" s="13" t="s">
        <v>120</v>
      </c>
      <c r="B3" s="21" t="s">
        <v>79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330</v>
      </c>
      <c r="B12" s="17" t="s">
        <v>331</v>
      </c>
      <c r="C12" s="17" t="s">
        <v>332</v>
      </c>
      <c r="D12" s="17" t="s">
        <v>333</v>
      </c>
      <c r="E12" s="17" t="s">
        <v>206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334</v>
      </c>
    </row>
    <row r="13" spans="1:15" ht="86.1" customHeight="1">
      <c r="A13" s="17" t="s">
        <v>335</v>
      </c>
      <c r="B13" s="17" t="s">
        <v>142</v>
      </c>
      <c r="C13" s="17" t="s">
        <v>336</v>
      </c>
      <c r="D13" s="17" t="s">
        <v>144</v>
      </c>
      <c r="E13" s="17" t="s">
        <v>337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334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338</v>
      </c>
      <c r="B15" s="17" t="s">
        <v>148</v>
      </c>
      <c r="C15" s="17" t="s">
        <v>339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334</v>
      </c>
    </row>
    <row r="16" spans="1:15" ht="86.1" customHeight="1">
      <c r="A16" s="17" t="s">
        <v>340</v>
      </c>
      <c r="B16" s="17" t="s">
        <v>153</v>
      </c>
      <c r="C16" s="17" t="s">
        <v>341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334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342</v>
      </c>
      <c r="B18" s="17" t="s">
        <v>159</v>
      </c>
      <c r="C18" s="17" t="s">
        <v>343</v>
      </c>
      <c r="D18" s="17" t="s">
        <v>161</v>
      </c>
      <c r="E18" s="17" t="s">
        <v>344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334</v>
      </c>
    </row>
    <row r="19" spans="1:15" ht="86.1" customHeight="1">
      <c r="A19" s="17" t="s">
        <v>345</v>
      </c>
      <c r="B19" s="17" t="s">
        <v>164</v>
      </c>
      <c r="C19" s="17" t="s">
        <v>346</v>
      </c>
      <c r="D19" s="17" t="s">
        <v>166</v>
      </c>
      <c r="E19" s="17" t="s">
        <v>347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334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D00-000000000000}">
      <formula1>"Pending,Passed,Failed,N/A"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19"/>
  <sheetViews>
    <sheetView topLeftCell="A13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115</v>
      </c>
      <c r="C2" s="21"/>
      <c r="D2" s="21"/>
      <c r="E2" s="21"/>
    </row>
    <row r="3" spans="1:15">
      <c r="A3" s="13" t="s">
        <v>120</v>
      </c>
      <c r="B3" s="21" t="s">
        <v>83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348</v>
      </c>
      <c r="B12" s="17" t="s">
        <v>349</v>
      </c>
      <c r="C12" s="17" t="s">
        <v>350</v>
      </c>
      <c r="D12" s="17" t="s">
        <v>351</v>
      </c>
      <c r="E12" s="17" t="s">
        <v>352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353</v>
      </c>
    </row>
    <row r="13" spans="1:15" ht="86.1" customHeight="1">
      <c r="A13" s="17" t="s">
        <v>354</v>
      </c>
      <c r="B13" s="17" t="s">
        <v>142</v>
      </c>
      <c r="C13" s="17" t="s">
        <v>355</v>
      </c>
      <c r="D13" s="17" t="s">
        <v>144</v>
      </c>
      <c r="E13" s="17" t="s">
        <v>356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353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357</v>
      </c>
      <c r="B15" s="17" t="s">
        <v>148</v>
      </c>
      <c r="C15" s="17" t="s">
        <v>358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353</v>
      </c>
    </row>
    <row r="16" spans="1:15" ht="86.1" customHeight="1">
      <c r="A16" s="17" t="s">
        <v>359</v>
      </c>
      <c r="B16" s="17" t="s">
        <v>153</v>
      </c>
      <c r="C16" s="17" t="s">
        <v>360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353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361</v>
      </c>
      <c r="B18" s="17" t="s">
        <v>159</v>
      </c>
      <c r="C18" s="17" t="s">
        <v>362</v>
      </c>
      <c r="D18" s="17" t="s">
        <v>161</v>
      </c>
      <c r="E18" s="17" t="s">
        <v>363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353</v>
      </c>
    </row>
    <row r="19" spans="1:15" ht="86.1" customHeight="1">
      <c r="A19" s="17" t="s">
        <v>364</v>
      </c>
      <c r="B19" s="17" t="s">
        <v>164</v>
      </c>
      <c r="C19" s="17" t="s">
        <v>365</v>
      </c>
      <c r="D19" s="17" t="s">
        <v>166</v>
      </c>
      <c r="E19" s="17" t="s">
        <v>366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353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E00-000000000000}">
      <formula1>"Pending,Passed,Failed,N/A"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19"/>
  <sheetViews>
    <sheetView topLeftCell="A13"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116</v>
      </c>
      <c r="C2" s="21"/>
      <c r="D2" s="21"/>
      <c r="E2" s="21"/>
    </row>
    <row r="3" spans="1:15">
      <c r="A3" s="13" t="s">
        <v>120</v>
      </c>
      <c r="B3" s="21" t="s">
        <v>87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367</v>
      </c>
      <c r="B12" s="17" t="s">
        <v>368</v>
      </c>
      <c r="C12" s="17" t="s">
        <v>369</v>
      </c>
      <c r="D12" s="17" t="s">
        <v>370</v>
      </c>
      <c r="E12" s="17" t="s">
        <v>371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372</v>
      </c>
    </row>
    <row r="13" spans="1:15" ht="86.1" customHeight="1">
      <c r="A13" s="17" t="s">
        <v>373</v>
      </c>
      <c r="B13" s="17" t="s">
        <v>142</v>
      </c>
      <c r="C13" s="17" t="s">
        <v>374</v>
      </c>
      <c r="D13" s="17" t="s">
        <v>144</v>
      </c>
      <c r="E13" s="17" t="s">
        <v>375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372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376</v>
      </c>
      <c r="B15" s="17" t="s">
        <v>148</v>
      </c>
      <c r="C15" s="17" t="s">
        <v>377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372</v>
      </c>
    </row>
    <row r="16" spans="1:15" ht="86.1" customHeight="1">
      <c r="A16" s="17" t="s">
        <v>378</v>
      </c>
      <c r="B16" s="17" t="s">
        <v>153</v>
      </c>
      <c r="C16" s="17" t="s">
        <v>379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372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380</v>
      </c>
      <c r="B18" s="17" t="s">
        <v>159</v>
      </c>
      <c r="C18" s="17" t="s">
        <v>381</v>
      </c>
      <c r="D18" s="17" t="s">
        <v>161</v>
      </c>
      <c r="E18" s="17" t="s">
        <v>382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372</v>
      </c>
    </row>
    <row r="19" spans="1:15" ht="86.1" customHeight="1">
      <c r="A19" s="17" t="s">
        <v>383</v>
      </c>
      <c r="B19" s="17" t="s">
        <v>164</v>
      </c>
      <c r="C19" s="17" t="s">
        <v>384</v>
      </c>
      <c r="D19" s="17" t="s">
        <v>166</v>
      </c>
      <c r="E19" s="17" t="s">
        <v>385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372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0F00-000000000000}">
      <formula1>"Pending,Passed,Failed,N/A"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19"/>
  <sheetViews>
    <sheetView workbookViewId="0">
      <selection activeCell="F19" sqref="F19"/>
    </sheetView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117</v>
      </c>
      <c r="C2" s="21"/>
      <c r="D2" s="21"/>
      <c r="E2" s="21"/>
    </row>
    <row r="3" spans="1:15">
      <c r="A3" s="13" t="s">
        <v>120</v>
      </c>
      <c r="B3" s="21" t="s">
        <v>91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6</v>
      </c>
      <c r="C6" s="15">
        <f>COUNTIF(F12:F19,"Failed")</f>
        <v>0</v>
      </c>
      <c r="D6" s="15">
        <f>COUNTIF(F12:F19,"Pending")</f>
        <v>0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386</v>
      </c>
      <c r="B12" s="17" t="s">
        <v>387</v>
      </c>
      <c r="C12" s="17" t="s">
        <v>388</v>
      </c>
      <c r="D12" s="17" t="s">
        <v>389</v>
      </c>
      <c r="E12" s="17" t="s">
        <v>139</v>
      </c>
      <c r="F12" s="17" t="s">
        <v>98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390</v>
      </c>
    </row>
    <row r="13" spans="1:15" ht="86.1" customHeight="1">
      <c r="A13" s="17" t="s">
        <v>391</v>
      </c>
      <c r="B13" s="17" t="s">
        <v>142</v>
      </c>
      <c r="C13" s="17" t="s">
        <v>392</v>
      </c>
      <c r="D13" s="17" t="s">
        <v>144</v>
      </c>
      <c r="E13" s="17" t="s">
        <v>393</v>
      </c>
      <c r="F13" s="17" t="s">
        <v>98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390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394</v>
      </c>
      <c r="B15" s="17" t="s">
        <v>148</v>
      </c>
      <c r="C15" s="17" t="s">
        <v>395</v>
      </c>
      <c r="D15" s="17" t="s">
        <v>150</v>
      </c>
      <c r="E15" s="17" t="s">
        <v>151</v>
      </c>
      <c r="F15" s="17" t="s">
        <v>98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390</v>
      </c>
    </row>
    <row r="16" spans="1:15" ht="86.1" customHeight="1">
      <c r="A16" s="17" t="s">
        <v>396</v>
      </c>
      <c r="B16" s="17" t="s">
        <v>153</v>
      </c>
      <c r="C16" s="17" t="s">
        <v>397</v>
      </c>
      <c r="D16" s="17" t="s">
        <v>155</v>
      </c>
      <c r="E16" s="17" t="s">
        <v>156</v>
      </c>
      <c r="F16" s="17" t="s">
        <v>98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390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398</v>
      </c>
      <c r="B18" s="17" t="s">
        <v>159</v>
      </c>
      <c r="C18" s="17" t="s">
        <v>399</v>
      </c>
      <c r="D18" s="17" t="s">
        <v>161</v>
      </c>
      <c r="E18" s="17" t="s">
        <v>400</v>
      </c>
      <c r="F18" s="17" t="s">
        <v>98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390</v>
      </c>
    </row>
    <row r="19" spans="1:15" ht="86.1" customHeight="1">
      <c r="A19" s="17" t="s">
        <v>401</v>
      </c>
      <c r="B19" s="17" t="s">
        <v>164</v>
      </c>
      <c r="C19" s="17" t="s">
        <v>402</v>
      </c>
      <c r="D19" s="17" t="s">
        <v>166</v>
      </c>
      <c r="E19" s="17" t="s">
        <v>403</v>
      </c>
      <c r="F19" s="17" t="s">
        <v>98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390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1000-000000000000}">
      <formula1>"Pending,Passed,Failed,N/A"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19"/>
  <sheetViews>
    <sheetView topLeftCell="A4" workbookViewId="0"/>
  </sheetViews>
  <sheetFormatPr defaultRowHeight="14.25"/>
  <cols>
    <col min="1" max="1" width="16" customWidth="1"/>
    <col min="2" max="2" width="33" customWidth="1"/>
    <col min="3" max="4" width="40" customWidth="1"/>
    <col min="5" max="5" width="33" customWidth="1"/>
    <col min="6" max="6" width="11" customWidth="1"/>
    <col min="7" max="7" width="12" customWidth="1"/>
    <col min="8" max="8" width="10" customWidth="1"/>
    <col min="9" max="9" width="11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24" customWidth="1"/>
  </cols>
  <sheetData>
    <row r="2" spans="1:15">
      <c r="A2" s="13" t="s">
        <v>119</v>
      </c>
      <c r="B2" s="21" t="s">
        <v>118</v>
      </c>
      <c r="C2" s="21"/>
      <c r="D2" s="21"/>
      <c r="E2" s="21"/>
    </row>
    <row r="3" spans="1:15">
      <c r="A3" s="13" t="s">
        <v>120</v>
      </c>
      <c r="B3" s="21" t="s">
        <v>95</v>
      </c>
      <c r="C3" s="21"/>
      <c r="D3" s="21"/>
      <c r="E3" s="21"/>
    </row>
    <row r="4" spans="1:15">
      <c r="A4" s="13" t="s">
        <v>121</v>
      </c>
      <c r="B4" s="21">
        <v>6</v>
      </c>
      <c r="C4" s="21"/>
      <c r="D4" s="21"/>
      <c r="E4" s="21"/>
    </row>
    <row r="5" spans="1:15">
      <c r="A5" s="14" t="s">
        <v>122</v>
      </c>
      <c r="B5" s="14" t="s">
        <v>98</v>
      </c>
      <c r="C5" s="14" t="s">
        <v>99</v>
      </c>
      <c r="D5" s="14" t="s">
        <v>100</v>
      </c>
      <c r="E5" s="14" t="s">
        <v>101</v>
      </c>
    </row>
    <row r="6" spans="1:15">
      <c r="A6" s="14" t="s">
        <v>123</v>
      </c>
      <c r="B6" s="15">
        <f>COUNTIF(F12:F19,"Passed")</f>
        <v>0</v>
      </c>
      <c r="C6" s="15">
        <f>COUNTIF(F12:F19,"Failed")</f>
        <v>0</v>
      </c>
      <c r="D6" s="15">
        <f>COUNTIF(F12:F19,"Pending")</f>
        <v>6</v>
      </c>
      <c r="E6" s="15">
        <f>COUNTIF(F12:F19,"N/A")</f>
        <v>0</v>
      </c>
    </row>
    <row r="7" spans="1:15">
      <c r="A7" s="14" t="s">
        <v>124</v>
      </c>
      <c r="B7" s="15">
        <f>COUNTIF(I12:I19,"Passed")</f>
        <v>0</v>
      </c>
      <c r="C7" s="15">
        <f>COUNTIF(I12:I19,"Failed")</f>
        <v>0</v>
      </c>
      <c r="D7" s="15">
        <f>COUNTIF(I12:I19,"Pending")</f>
        <v>6</v>
      </c>
      <c r="E7" s="15">
        <f>COUNTIF(I12:I19,"N/A")</f>
        <v>0</v>
      </c>
    </row>
    <row r="8" spans="1:15">
      <c r="A8" s="14" t="s">
        <v>125</v>
      </c>
      <c r="B8" s="15">
        <f>COUNTIF(L12:L19,"Passed")</f>
        <v>0</v>
      </c>
      <c r="C8" s="15">
        <f>COUNTIF(L12:L19,"Failed")</f>
        <v>0</v>
      </c>
      <c r="D8" s="15">
        <f>COUNTIF(L12:L19,"Pending")</f>
        <v>6</v>
      </c>
      <c r="E8" s="15">
        <f>COUNTIF(L12:L19,"N/A")</f>
        <v>0</v>
      </c>
    </row>
    <row r="10" spans="1:15">
      <c r="A10" s="16" t="s">
        <v>126</v>
      </c>
      <c r="B10" s="16" t="s">
        <v>127</v>
      </c>
      <c r="C10" s="16" t="s">
        <v>128</v>
      </c>
      <c r="D10" s="16" t="s">
        <v>129</v>
      </c>
      <c r="E10" s="16" t="s">
        <v>130</v>
      </c>
      <c r="F10" s="16" t="s">
        <v>123</v>
      </c>
      <c r="G10" s="16" t="s">
        <v>131</v>
      </c>
      <c r="H10" s="16" t="s">
        <v>132</v>
      </c>
      <c r="I10" s="16" t="s">
        <v>124</v>
      </c>
      <c r="J10" s="16" t="s">
        <v>131</v>
      </c>
      <c r="K10" s="16" t="s">
        <v>132</v>
      </c>
      <c r="L10" s="16" t="s">
        <v>125</v>
      </c>
      <c r="M10" s="16" t="s">
        <v>131</v>
      </c>
      <c r="N10" s="16" t="s">
        <v>132</v>
      </c>
      <c r="O10" s="16" t="s">
        <v>133</v>
      </c>
    </row>
    <row r="11" spans="1:15">
      <c r="A11" s="22" t="s">
        <v>134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86.1" customHeight="1">
      <c r="A12" s="17" t="s">
        <v>404</v>
      </c>
      <c r="B12" s="17" t="s">
        <v>405</v>
      </c>
      <c r="C12" s="17" t="s">
        <v>406</v>
      </c>
      <c r="D12" s="17" t="s">
        <v>407</v>
      </c>
      <c r="E12" s="17" t="s">
        <v>352</v>
      </c>
      <c r="F12" s="17" t="s">
        <v>100</v>
      </c>
      <c r="G12" s="17"/>
      <c r="H12" s="17"/>
      <c r="I12" s="17" t="s">
        <v>100</v>
      </c>
      <c r="J12" s="17"/>
      <c r="K12" s="17"/>
      <c r="L12" s="17" t="s">
        <v>100</v>
      </c>
      <c r="M12" s="17"/>
      <c r="N12" s="17"/>
      <c r="O12" s="17" t="s">
        <v>408</v>
      </c>
    </row>
    <row r="13" spans="1:15" ht="86.1" customHeight="1">
      <c r="A13" s="17" t="s">
        <v>409</v>
      </c>
      <c r="B13" s="17" t="s">
        <v>142</v>
      </c>
      <c r="C13" s="17" t="s">
        <v>410</v>
      </c>
      <c r="D13" s="17" t="s">
        <v>144</v>
      </c>
      <c r="E13" s="17" t="s">
        <v>411</v>
      </c>
      <c r="F13" s="17" t="s">
        <v>100</v>
      </c>
      <c r="G13" s="17"/>
      <c r="H13" s="17"/>
      <c r="I13" s="17" t="s">
        <v>100</v>
      </c>
      <c r="J13" s="17"/>
      <c r="K13" s="17"/>
      <c r="L13" s="17" t="s">
        <v>100</v>
      </c>
      <c r="M13" s="17"/>
      <c r="N13" s="17"/>
      <c r="O13" s="17" t="s">
        <v>408</v>
      </c>
    </row>
    <row r="14" spans="1:15">
      <c r="A14" s="22" t="s">
        <v>146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86.1" customHeight="1">
      <c r="A15" s="17" t="s">
        <v>412</v>
      </c>
      <c r="B15" s="17" t="s">
        <v>148</v>
      </c>
      <c r="C15" s="17" t="s">
        <v>413</v>
      </c>
      <c r="D15" s="17" t="s">
        <v>150</v>
      </c>
      <c r="E15" s="17" t="s">
        <v>151</v>
      </c>
      <c r="F15" s="17" t="s">
        <v>100</v>
      </c>
      <c r="G15" s="17"/>
      <c r="H15" s="17"/>
      <c r="I15" s="17" t="s">
        <v>100</v>
      </c>
      <c r="J15" s="17"/>
      <c r="K15" s="17"/>
      <c r="L15" s="17" t="s">
        <v>100</v>
      </c>
      <c r="M15" s="17"/>
      <c r="N15" s="17"/>
      <c r="O15" s="17" t="s">
        <v>408</v>
      </c>
    </row>
    <row r="16" spans="1:15" ht="86.1" customHeight="1">
      <c r="A16" s="17" t="s">
        <v>414</v>
      </c>
      <c r="B16" s="17" t="s">
        <v>153</v>
      </c>
      <c r="C16" s="17" t="s">
        <v>415</v>
      </c>
      <c r="D16" s="17" t="s">
        <v>155</v>
      </c>
      <c r="E16" s="17" t="s">
        <v>156</v>
      </c>
      <c r="F16" s="17" t="s">
        <v>100</v>
      </c>
      <c r="G16" s="17"/>
      <c r="H16" s="17"/>
      <c r="I16" s="17" t="s">
        <v>100</v>
      </c>
      <c r="J16" s="17"/>
      <c r="K16" s="17"/>
      <c r="L16" s="17" t="s">
        <v>100</v>
      </c>
      <c r="M16" s="17"/>
      <c r="N16" s="17"/>
      <c r="O16" s="17" t="s">
        <v>408</v>
      </c>
    </row>
    <row r="17" spans="1:15">
      <c r="A17" s="22" t="s">
        <v>157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86.1" customHeight="1">
      <c r="A18" s="17" t="s">
        <v>416</v>
      </c>
      <c r="B18" s="17" t="s">
        <v>159</v>
      </c>
      <c r="C18" s="17" t="s">
        <v>417</v>
      </c>
      <c r="D18" s="17" t="s">
        <v>161</v>
      </c>
      <c r="E18" s="17" t="s">
        <v>418</v>
      </c>
      <c r="F18" s="17" t="s">
        <v>100</v>
      </c>
      <c r="G18" s="17"/>
      <c r="H18" s="17"/>
      <c r="I18" s="17" t="s">
        <v>100</v>
      </c>
      <c r="J18" s="17"/>
      <c r="K18" s="17"/>
      <c r="L18" s="17" t="s">
        <v>100</v>
      </c>
      <c r="M18" s="17"/>
      <c r="N18" s="17"/>
      <c r="O18" s="17" t="s">
        <v>408</v>
      </c>
    </row>
    <row r="19" spans="1:15" ht="86.1" customHeight="1">
      <c r="A19" s="17" t="s">
        <v>419</v>
      </c>
      <c r="B19" s="17" t="s">
        <v>164</v>
      </c>
      <c r="C19" s="17" t="s">
        <v>420</v>
      </c>
      <c r="D19" s="17" t="s">
        <v>166</v>
      </c>
      <c r="E19" s="17" t="s">
        <v>421</v>
      </c>
      <c r="F19" s="17" t="s">
        <v>100</v>
      </c>
      <c r="G19" s="17"/>
      <c r="H19" s="17"/>
      <c r="I19" s="17" t="s">
        <v>100</v>
      </c>
      <c r="J19" s="17"/>
      <c r="K19" s="17"/>
      <c r="L19" s="17" t="s">
        <v>100</v>
      </c>
      <c r="M19" s="17"/>
      <c r="N19" s="17"/>
      <c r="O19" s="17" t="s">
        <v>408</v>
      </c>
    </row>
  </sheetData>
  <mergeCells count="6">
    <mergeCell ref="A17:O17"/>
    <mergeCell ref="B2:E2"/>
    <mergeCell ref="B3:E3"/>
    <mergeCell ref="B4:E4"/>
    <mergeCell ref="A11:O11"/>
    <mergeCell ref="A14:O14"/>
  </mergeCells>
  <dataValidations count="1">
    <dataValidation type="list" sqref="F12:F19 L12:L19 I12:I19" xr:uid="{00000000-0002-0000-1100-000000000000}">
      <formula1>"Pending,Passed,Failed,N/A"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16" workbookViewId="0"/>
  </sheetViews>
  <sheetFormatPr defaultRowHeight="14.25"/>
  <cols>
    <col min="1" max="3" width="38" customWidth="1"/>
  </cols>
  <sheetData>
    <row r="1" spans="1:3">
      <c r="A1" s="11" t="s">
        <v>422</v>
      </c>
      <c r="B1" s="11" t="s">
        <v>423</v>
      </c>
      <c r="C1" s="11" t="s">
        <v>97</v>
      </c>
    </row>
    <row r="2" spans="1:3">
      <c r="A2" s="6" t="s">
        <v>424</v>
      </c>
      <c r="B2" s="6" t="s">
        <v>425</v>
      </c>
      <c r="C2" s="6" t="s">
        <v>36</v>
      </c>
    </row>
    <row r="3" spans="1:3" ht="25.5">
      <c r="A3" s="6" t="s">
        <v>426</v>
      </c>
      <c r="B3" s="6" t="s">
        <v>427</v>
      </c>
      <c r="C3" s="6" t="s">
        <v>36</v>
      </c>
    </row>
    <row r="4" spans="1:3">
      <c r="A4" s="6" t="s">
        <v>428</v>
      </c>
      <c r="B4" s="6" t="s">
        <v>425</v>
      </c>
      <c r="C4" s="6" t="s">
        <v>41</v>
      </c>
    </row>
    <row r="5" spans="1:3" ht="25.5">
      <c r="A5" s="6" t="s">
        <v>429</v>
      </c>
      <c r="B5" s="6" t="s">
        <v>427</v>
      </c>
      <c r="C5" s="6" t="s">
        <v>41</v>
      </c>
    </row>
    <row r="6" spans="1:3">
      <c r="A6" s="6" t="s">
        <v>430</v>
      </c>
      <c r="B6" s="6" t="s">
        <v>425</v>
      </c>
      <c r="C6" s="6" t="s">
        <v>45</v>
      </c>
    </row>
    <row r="7" spans="1:3" ht="25.5">
      <c r="A7" s="6" t="s">
        <v>431</v>
      </c>
      <c r="B7" s="6" t="s">
        <v>427</v>
      </c>
      <c r="C7" s="6" t="s">
        <v>45</v>
      </c>
    </row>
    <row r="8" spans="1:3">
      <c r="A8" s="6" t="s">
        <v>432</v>
      </c>
      <c r="B8" s="6" t="s">
        <v>425</v>
      </c>
      <c r="C8" s="6" t="s">
        <v>49</v>
      </c>
    </row>
    <row r="9" spans="1:3" ht="25.5">
      <c r="A9" s="6" t="s">
        <v>433</v>
      </c>
      <c r="B9" s="6" t="s">
        <v>427</v>
      </c>
      <c r="C9" s="6" t="s">
        <v>49</v>
      </c>
    </row>
    <row r="10" spans="1:3">
      <c r="A10" s="6" t="s">
        <v>434</v>
      </c>
      <c r="B10" s="6" t="s">
        <v>425</v>
      </c>
      <c r="C10" s="6" t="s">
        <v>53</v>
      </c>
    </row>
    <row r="11" spans="1:3" ht="25.5">
      <c r="A11" s="6" t="s">
        <v>435</v>
      </c>
      <c r="B11" s="6" t="s">
        <v>427</v>
      </c>
      <c r="C11" s="6" t="s">
        <v>53</v>
      </c>
    </row>
    <row r="12" spans="1:3">
      <c r="A12" s="6" t="s">
        <v>436</v>
      </c>
      <c r="B12" s="6" t="s">
        <v>425</v>
      </c>
      <c r="C12" s="6" t="s">
        <v>57</v>
      </c>
    </row>
    <row r="13" spans="1:3" ht="25.5">
      <c r="A13" s="6" t="s">
        <v>437</v>
      </c>
      <c r="B13" s="6" t="s">
        <v>427</v>
      </c>
      <c r="C13" s="6" t="s">
        <v>57</v>
      </c>
    </row>
    <row r="14" spans="1:3">
      <c r="A14" s="6" t="s">
        <v>438</v>
      </c>
      <c r="B14" s="6" t="s">
        <v>425</v>
      </c>
      <c r="C14" s="6" t="s">
        <v>61</v>
      </c>
    </row>
    <row r="15" spans="1:3" ht="25.5">
      <c r="A15" s="6" t="s">
        <v>439</v>
      </c>
      <c r="B15" s="6" t="s">
        <v>427</v>
      </c>
      <c r="C15" s="6" t="s">
        <v>61</v>
      </c>
    </row>
    <row r="16" spans="1:3">
      <c r="A16" s="6" t="s">
        <v>440</v>
      </c>
      <c r="B16" s="6" t="s">
        <v>425</v>
      </c>
      <c r="C16" s="6" t="s">
        <v>65</v>
      </c>
    </row>
    <row r="17" spans="1:3" ht="25.5">
      <c r="A17" s="6" t="s">
        <v>441</v>
      </c>
      <c r="B17" s="6" t="s">
        <v>427</v>
      </c>
      <c r="C17" s="6" t="s">
        <v>65</v>
      </c>
    </row>
    <row r="18" spans="1:3">
      <c r="A18" s="6" t="s">
        <v>442</v>
      </c>
      <c r="B18" s="6" t="s">
        <v>425</v>
      </c>
      <c r="C18" s="6" t="s">
        <v>69</v>
      </c>
    </row>
    <row r="19" spans="1:3" ht="25.5">
      <c r="A19" s="6" t="s">
        <v>443</v>
      </c>
      <c r="B19" s="6" t="s">
        <v>427</v>
      </c>
      <c r="C19" s="6" t="s">
        <v>69</v>
      </c>
    </row>
    <row r="20" spans="1:3">
      <c r="A20" s="6" t="s">
        <v>444</v>
      </c>
      <c r="B20" s="6" t="s">
        <v>425</v>
      </c>
      <c r="C20" s="6" t="s">
        <v>73</v>
      </c>
    </row>
    <row r="21" spans="1:3" ht="25.5">
      <c r="A21" s="6" t="s">
        <v>445</v>
      </c>
      <c r="B21" s="6" t="s">
        <v>427</v>
      </c>
      <c r="C21" s="6" t="s">
        <v>73</v>
      </c>
    </row>
    <row r="22" spans="1:3">
      <c r="A22" s="6" t="s">
        <v>446</v>
      </c>
      <c r="B22" s="6" t="s">
        <v>425</v>
      </c>
      <c r="C22" s="6" t="s">
        <v>77</v>
      </c>
    </row>
    <row r="23" spans="1:3" ht="25.5">
      <c r="A23" s="6" t="s">
        <v>447</v>
      </c>
      <c r="B23" s="6" t="s">
        <v>427</v>
      </c>
      <c r="C23" s="6" t="s">
        <v>77</v>
      </c>
    </row>
    <row r="24" spans="1:3">
      <c r="A24" s="6" t="s">
        <v>448</v>
      </c>
      <c r="B24" s="6" t="s">
        <v>425</v>
      </c>
      <c r="C24" s="6" t="s">
        <v>81</v>
      </c>
    </row>
    <row r="25" spans="1:3" ht="25.5">
      <c r="A25" s="6" t="s">
        <v>449</v>
      </c>
      <c r="B25" s="6" t="s">
        <v>427</v>
      </c>
      <c r="C25" s="6" t="s">
        <v>81</v>
      </c>
    </row>
    <row r="26" spans="1:3">
      <c r="A26" s="6" t="s">
        <v>450</v>
      </c>
      <c r="B26" s="6" t="s">
        <v>425</v>
      </c>
      <c r="C26" s="6" t="s">
        <v>85</v>
      </c>
    </row>
    <row r="27" spans="1:3" ht="25.5">
      <c r="A27" s="6" t="s">
        <v>451</v>
      </c>
      <c r="B27" s="6" t="s">
        <v>427</v>
      </c>
      <c r="C27" s="6" t="s">
        <v>85</v>
      </c>
    </row>
    <row r="28" spans="1:3">
      <c r="A28" s="6" t="s">
        <v>452</v>
      </c>
      <c r="B28" s="6" t="s">
        <v>425</v>
      </c>
      <c r="C28" s="6" t="s">
        <v>89</v>
      </c>
    </row>
    <row r="29" spans="1:3" ht="25.5">
      <c r="A29" s="6" t="s">
        <v>453</v>
      </c>
      <c r="B29" s="6" t="s">
        <v>427</v>
      </c>
      <c r="C29" s="6" t="s">
        <v>89</v>
      </c>
    </row>
    <row r="30" spans="1:3">
      <c r="A30" s="6" t="s">
        <v>454</v>
      </c>
      <c r="B30" s="6" t="s">
        <v>425</v>
      </c>
      <c r="C30" s="6" t="s">
        <v>93</v>
      </c>
    </row>
    <row r="31" spans="1:3" ht="25.5">
      <c r="A31" s="6" t="s">
        <v>455</v>
      </c>
      <c r="B31" s="6" t="s">
        <v>427</v>
      </c>
      <c r="C31" s="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Test Cases</vt:lpstr>
      <vt:lpstr>Test Statistics</vt:lpstr>
      <vt:lpstr>IT01-RegisterOTP</vt:lpstr>
      <vt:lpstr>IT02-LoginToken</vt:lpstr>
      <vt:lpstr>IT03-Profile</vt:lpstr>
      <vt:lpstr>IT04-Appointment</vt:lpstr>
      <vt:lpstr>IT05-PaymentQueue</vt:lpstr>
      <vt:lpstr>IT06-QueueExam</vt:lpstr>
      <vt:lpstr>IT07-Examination</vt:lpstr>
      <vt:lpstr>IT08-TestOrder</vt:lpstr>
      <vt:lpstr>IT09-LabResult</vt:lpstr>
      <vt:lpstr>IT10-CompleteFollowup</vt:lpstr>
      <vt:lpstr>IT11-InsuranceTxn</vt:lpstr>
      <vt:lpstr>IT12-StaffSchedule</vt:lpstr>
      <vt:lpstr>IT13-AdminCatalog</vt:lpstr>
      <vt:lpstr>IT14-NotifyChat</vt:lpstr>
      <vt:lpstr>IT15-JourneyReport</vt:lpstr>
      <vt:lpstr>MessageList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2026-08-12T16:11:16Z</dcterms:modified>
</cp:coreProperties>
</file>